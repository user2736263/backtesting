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<sst xmlns="http://schemas.openxmlformats.org/spreadsheetml/2006/main" count="856" uniqueCount="312">
  <si>
    <t>Entry Price</t>
  </si>
  <si>
    <t>Sell Price</t>
  </si>
  <si>
    <t>Quantity</t>
  </si>
  <si>
    <t>PnL</t>
  </si>
  <si>
    <t>Trade Duration (s)</t>
  </si>
  <si>
    <t>Trade Date Time</t>
  </si>
  <si>
    <t>Sell Reason</t>
  </si>
  <si>
    <t>Percent of Trade</t>
  </si>
  <si>
    <t>Highest Price Reached</t>
  </si>
  <si>
    <t>Earnings with Highest Price (%)</t>
  </si>
  <si>
    <t>Lowest Price Reached</t>
  </si>
  <si>
    <t>Lowest Price under Buy Price (%)</t>
  </si>
  <si>
    <t>Long / Short</t>
  </si>
  <si>
    <t>Earnings Total</t>
  </si>
  <si>
    <t>Earnings per Trade</t>
  </si>
  <si>
    <t>Percent per Trade</t>
  </si>
  <si>
    <t>Profit per year</t>
  </si>
  <si>
    <t>Profit with ...</t>
  </si>
  <si>
    <t>2025-11-03T19:16:15.581Z</t>
  </si>
  <si>
    <t>profit target reached</t>
  </si>
  <si>
    <t>year 1</t>
  </si>
  <si>
    <t>2025-11-03T20:30:23.195Z</t>
  </si>
  <si>
    <t>year 2</t>
  </si>
  <si>
    <t>2025-11-03T21:00:43.959Z</t>
  </si>
  <si>
    <t>year 3</t>
  </si>
  <si>
    <t>2025-11-03T21:23:05.776Z</t>
  </si>
  <si>
    <t>year 4</t>
  </si>
  <si>
    <t>2025-11-03T22:46:27.691Z</t>
  </si>
  <si>
    <t>year 5</t>
  </si>
  <si>
    <t>2025-11-03T23:22:14.819Z</t>
  </si>
  <si>
    <t>2025-11-04T00:33:50.873Z</t>
  </si>
  <si>
    <t>2025-11-04T01:20:50.985Z</t>
  </si>
  <si>
    <t>2025-11-04T02:20:13.929Z</t>
  </si>
  <si>
    <t>2025-11-04T03:13:17.734Z</t>
  </si>
  <si>
    <t>2025-11-04T06:14:36.855Z</t>
  </si>
  <si>
    <t>2025-11-04T08:11:32.477Z</t>
  </si>
  <si>
    <t>2025-11-04T08:12:44.789Z</t>
  </si>
  <si>
    <t>2025-11-04T09:31:20.659Z</t>
  </si>
  <si>
    <t>2025-11-04T11:04:38.836Z</t>
  </si>
  <si>
    <t>2025-11-04T12:03:47.406Z</t>
  </si>
  <si>
    <t>2025-11-04T12:48:32.210Z</t>
  </si>
  <si>
    <t>2025-11-04T13:35:13.575Z</t>
  </si>
  <si>
    <t>long</t>
  </si>
  <si>
    <t>2025-11-04T14:07:42.269Z</t>
  </si>
  <si>
    <t>2025-11-04T14:20:36.540Z</t>
  </si>
  <si>
    <t>short</t>
  </si>
  <si>
    <t>2025-11-04T14:31:20.526Z</t>
  </si>
  <si>
    <t>2025-11-04T14:41:21.750Z</t>
  </si>
  <si>
    <t>2025-11-04T15:10:38.774Z</t>
  </si>
  <si>
    <t>2025-11-04T15:26:26.732Z</t>
  </si>
  <si>
    <t>2025-11-04T15:34:10.504Z</t>
  </si>
  <si>
    <t>2025-11-04T17:21:48.304Z</t>
  </si>
  <si>
    <t>2025-11-04T18:02:24.200Z</t>
  </si>
  <si>
    <t>2025-11-04T18:42:51.882Z</t>
  </si>
  <si>
    <t>2025-11-04T20:19:57.558Z</t>
  </si>
  <si>
    <t>2025-11-04T20:31:52.442Z</t>
  </si>
  <si>
    <t>2025-11-04T20:42:32.030Z</t>
  </si>
  <si>
    <t>2025-11-04T20:57:19.748Z</t>
  </si>
  <si>
    <t>2025-11-04T21:06:06.484Z</t>
  </si>
  <si>
    <t>2025-11-04T21:19:14.105Z</t>
  </si>
  <si>
    <t>2025-11-04T21:37:06.354Z</t>
  </si>
  <si>
    <t>2025-11-04T21:41:55.584Z</t>
  </si>
  <si>
    <t>2025-11-04T21:45:19.399Z</t>
  </si>
  <si>
    <t>2025-11-04T23:44:23.185Z</t>
  </si>
  <si>
    <t>2025-11-05T00:15:03.240Z</t>
  </si>
  <si>
    <t>2025-11-05T00:20:05.177Z</t>
  </si>
  <si>
    <t>2025-11-05T00:26:23.039Z</t>
  </si>
  <si>
    <t>2025-11-05T01:04:23.513Z</t>
  </si>
  <si>
    <t>2025-11-05T01:47:48.706Z</t>
  </si>
  <si>
    <t>2025-11-05T04:23:55.358Z</t>
  </si>
  <si>
    <t>2025-11-05T04:36:50.384Z</t>
  </si>
  <si>
    <t>2025-11-05T04:57:13.639Z</t>
  </si>
  <si>
    <t>2025-11-05T05:10:56.480Z</t>
  </si>
  <si>
    <t>2025-11-05T05:25:15.514Z</t>
  </si>
  <si>
    <t>2025-11-05T06:19:20.314Z</t>
  </si>
  <si>
    <t>2025-11-05T06:23:51.891Z</t>
  </si>
  <si>
    <t>2025-11-05T06:33:34.817Z</t>
  </si>
  <si>
    <t>2025-11-05T06:40:45.519Z</t>
  </si>
  <si>
    <t>2025-11-05T06:53:54.358Z</t>
  </si>
  <si>
    <t>2025-11-05T07:06:19.213Z</t>
  </si>
  <si>
    <t>2025-11-05T08:31:50.836Z</t>
  </si>
  <si>
    <t>2025-11-05T08:47:05.122Z</t>
  </si>
  <si>
    <t>2025-11-05T08:50:57.133Z</t>
  </si>
  <si>
    <t>2025-11-05T10:11:07.732Z</t>
  </si>
  <si>
    <t>2025-11-05T11:06:39.411Z</t>
  </si>
  <si>
    <t>2025-11-05T12:52:47.146Z</t>
  </si>
  <si>
    <t>2025-11-05T13:02:49.972Z</t>
  </si>
  <si>
    <t>2025-11-05T13:15:29.021Z</t>
  </si>
  <si>
    <t>2025-11-05T13:38:42.272Z</t>
  </si>
  <si>
    <t>2025-11-05T14:10:25.382Z</t>
  </si>
  <si>
    <t>2025-11-05T15:01:16.974Z</t>
  </si>
  <si>
    <t>2025-11-05T15:03:10.868Z</t>
  </si>
  <si>
    <t>2025-11-05T15:39:39.967Z</t>
  </si>
  <si>
    <t>2025-11-05T16:12:45.633Z</t>
  </si>
  <si>
    <t>2025-11-05T16:34:46.643Z</t>
  </si>
  <si>
    <t>2025-11-05T17:01:32.867Z</t>
  </si>
  <si>
    <t>stop loss triggered</t>
  </si>
  <si>
    <t>2025-11-05T17:06:43.246Z</t>
  </si>
  <si>
    <t>2025-11-05T17:24:43.863Z</t>
  </si>
  <si>
    <t>2025-11-05T18:02:39.313Z</t>
  </si>
  <si>
    <t>2025-11-05T19:04:28.067Z</t>
  </si>
  <si>
    <t>2025-11-05T19:05:50.861Z</t>
  </si>
  <si>
    <t>2025-11-05T19:17:00.357Z</t>
  </si>
  <si>
    <t>2025-11-05T19:25:44.414Z</t>
  </si>
  <si>
    <t>2025-11-05T19:48:49.427Z</t>
  </si>
  <si>
    <t>2025-11-05T20:12:29.068Z</t>
  </si>
  <si>
    <t>2025-11-05T20:26:05.978Z</t>
  </si>
  <si>
    <t>2025-11-05T21:35:14.964Z</t>
  </si>
  <si>
    <t>2025-11-05T21:45:15.699Z</t>
  </si>
  <si>
    <t>2025-11-05T21:47:23.449Z</t>
  </si>
  <si>
    <t>2025-11-05T22:06:34.813Z</t>
  </si>
  <si>
    <t>2025-11-05T22:32:38.048Z</t>
  </si>
  <si>
    <t>2025-11-05T23:05:39.422Z</t>
  </si>
  <si>
    <t>2025-11-05T23:22:52.603Z</t>
  </si>
  <si>
    <t>2025-11-06T00:00:16.084Z</t>
  </si>
  <si>
    <t>2025-11-06T00:12:57.184Z</t>
  </si>
  <si>
    <t>2025-11-06T00:26:10.611Z</t>
  </si>
  <si>
    <t>2025-11-06T00:53:56.484Z</t>
  </si>
  <si>
    <t>2025-11-06T01:04:34.485Z</t>
  </si>
  <si>
    <t>2025-11-06T01:15:32.236Z</t>
  </si>
  <si>
    <t>2025-11-06T01:20:32.365Z</t>
  </si>
  <si>
    <t>2025-11-06T01:36:25.541Z</t>
  </si>
  <si>
    <t>2025-11-06T02:11:26.864Z</t>
  </si>
  <si>
    <t>2025-11-06T02:17:18.267Z</t>
  </si>
  <si>
    <t>2025-11-06T04:45:41.265Z</t>
  </si>
  <si>
    <t>2025-11-06T05:00:34.522Z</t>
  </si>
  <si>
    <t>2025-11-06T06:17:33.806Z</t>
  </si>
  <si>
    <t>2025-11-06T06:33:22.008Z</t>
  </si>
  <si>
    <t>2025-11-06T07:15:47.528Z</t>
  </si>
  <si>
    <t>2025-11-06T07:17:20.894Z</t>
  </si>
  <si>
    <t>2025-11-06T07:23:37.321Z</t>
  </si>
  <si>
    <t>2025-11-06T07:34:46.067Z</t>
  </si>
  <si>
    <t>2025-11-06T09:00:47.154Z</t>
  </si>
  <si>
    <t>2025-11-06T09:09:33.932Z</t>
  </si>
  <si>
    <t>2025-11-06T09:48:09.799Z</t>
  </si>
  <si>
    <t>2025-11-06T10:17:59.342Z</t>
  </si>
  <si>
    <t>2025-11-06T10:53:43.237Z</t>
  </si>
  <si>
    <t>0.002 tp and 0.02 stoploss</t>
  </si>
  <si>
    <t>2025-11-06T11:20:14.277Z</t>
  </si>
  <si>
    <t>2025-11-06T12:03:41.700Z</t>
  </si>
  <si>
    <t>2025-11-06T12:07:56.644Z</t>
  </si>
  <si>
    <t>2025-11-06T12:18:57.912Z</t>
  </si>
  <si>
    <t>2025-11-06T13:10:20.930Z</t>
  </si>
  <si>
    <t>2025-11-06T14:05:55.068Z</t>
  </si>
  <si>
    <t>2025-11-06T14:46:48.763Z</t>
  </si>
  <si>
    <t>2025-11-06T14:55:13.661Z</t>
  </si>
  <si>
    <t>2025-11-06T15:21:18.112Z</t>
  </si>
  <si>
    <t>2025-11-06T15:33:44.143Z</t>
  </si>
  <si>
    <t>2025-11-06T16:46:56.106Z</t>
  </si>
  <si>
    <t>2025-11-06T17:21:10.995Z</t>
  </si>
  <si>
    <t>2025-11-06T17:28:29.796Z</t>
  </si>
  <si>
    <t>2025-11-06T18:12:52.045Z</t>
  </si>
  <si>
    <t>2025-11-06T18:34:59.085Z</t>
  </si>
  <si>
    <t>2025-11-06T18:56:39.006Z</t>
  </si>
  <si>
    <t>2025-11-06T20:02:10.702Z</t>
  </si>
  <si>
    <t>2025-11-06T20:29:24.664Z</t>
  </si>
  <si>
    <t>2025-11-06T21:02:11.761Z</t>
  </si>
  <si>
    <t>2025-11-06T21:17:51.325Z</t>
  </si>
  <si>
    <t>2025-11-06T21:34:05.090Z</t>
  </si>
  <si>
    <t>2025-11-06T22:14:18.173Z</t>
  </si>
  <si>
    <t>2025-11-06T22:52:11.214Z</t>
  </si>
  <si>
    <t>2025-11-06T23:05:24.418Z</t>
  </si>
  <si>
    <t>2025-11-06T23:25:43.015Z</t>
  </si>
  <si>
    <t>2025-11-07T00:20:06.558Z</t>
  </si>
  <si>
    <t>2025-11-07T00:33:34.292Z</t>
  </si>
  <si>
    <t>2025-11-07T01:08:25.946Z</t>
  </si>
  <si>
    <t>2025-11-07T01:18:26.324Z</t>
  </si>
  <si>
    <t>2025-11-07T01:33:29.931Z</t>
  </si>
  <si>
    <t>2025-11-07T01:55:21.861Z</t>
  </si>
  <si>
    <t>2025-11-07T02:24:30.041Z</t>
  </si>
  <si>
    <t>2025-11-07T02:42:00.114Z</t>
  </si>
  <si>
    <t>2025-11-07T02:48:10.341Z</t>
  </si>
  <si>
    <t>2025-11-07T03:23:23.056Z</t>
  </si>
  <si>
    <t>2025-11-07T04:25:51.844Z</t>
  </si>
  <si>
    <t>2025-11-07T04:57:14.477Z</t>
  </si>
  <si>
    <t>2025-11-07T05:22:18.565Z</t>
  </si>
  <si>
    <t>2025-11-07T05:52:05.909Z</t>
  </si>
  <si>
    <t>2025-11-07T06:30:53.612Z</t>
  </si>
  <si>
    <t>2025-11-07T07:15:44.193Z</t>
  </si>
  <si>
    <t>2025-11-07T07:24:44.316Z</t>
  </si>
  <si>
    <t>2025-11-07T07:47:52.504Z</t>
  </si>
  <si>
    <t>2025-11-07T08:19:48.642Z</t>
  </si>
  <si>
    <t>2025-11-07T08:27:11.358Z</t>
  </si>
  <si>
    <t>2025-11-07T08:38:07.990Z</t>
  </si>
  <si>
    <t>2025-11-07T09:20:44.093Z</t>
  </si>
  <si>
    <t>2025-11-07T09:23:23.808Z</t>
  </si>
  <si>
    <t>2025-11-07T10:02:24.779Z</t>
  </si>
  <si>
    <t>2025-11-07T10:15:55.574Z</t>
  </si>
  <si>
    <t>2025-11-07T10:47:04.180Z</t>
  </si>
  <si>
    <t>2025-11-07T10:50:54.840Z</t>
  </si>
  <si>
    <t>2025-11-07T11:18:39.528Z</t>
  </si>
  <si>
    <t>2025-11-07T11:23:08.110Z</t>
  </si>
  <si>
    <t>2025-11-07T11:27:38.624Z</t>
  </si>
  <si>
    <t>2025-11-07T12:16:57.049Z</t>
  </si>
  <si>
    <t>2025-11-07T12:58:57.575Z</t>
  </si>
  <si>
    <t>2025-11-07T13:10:46.928Z</t>
  </si>
  <si>
    <t>2025-11-07T13:29:05.930Z</t>
  </si>
  <si>
    <t>2025-11-07T13:54:16.711Z</t>
  </si>
  <si>
    <t>2025-11-07T14:03:32.469Z</t>
  </si>
  <si>
    <t>2025-11-07T14:12:08.929Z</t>
  </si>
  <si>
    <t>2025-11-07T14:23:27.092Z</t>
  </si>
  <si>
    <t>2025-11-07T14:42:15.581Z</t>
  </si>
  <si>
    <t>2025-11-07T16:03:46.755Z</t>
  </si>
  <si>
    <t>2025-11-07T16:20:50.575Z</t>
  </si>
  <si>
    <t>2025-11-07T16:42:31.516Z</t>
  </si>
  <si>
    <t>2025-11-07T16:58:33.855Z</t>
  </si>
  <si>
    <t>2025-11-07T17:08:25.107Z</t>
  </si>
  <si>
    <t>2025-11-07T17:11:56.351Z</t>
  </si>
  <si>
    <t>2025-11-07T18:23:55.702Z</t>
  </si>
  <si>
    <t>2025-11-07T18:30:15.971Z</t>
  </si>
  <si>
    <t>2025-11-07T19:07:52.392Z</t>
  </si>
  <si>
    <t>2025-11-07T19:14:15.949Z</t>
  </si>
  <si>
    <t>2025-11-07T19:52:11.510Z</t>
  </si>
  <si>
    <t>2025-11-07T20:05:13.275Z</t>
  </si>
  <si>
    <t>2025-11-07T20:40:08.956Z</t>
  </si>
  <si>
    <t>2025-11-07T21:03:51.326Z</t>
  </si>
  <si>
    <t>2025-11-07T21:12:32.964Z</t>
  </si>
  <si>
    <t>2025-11-07T22:14:17.505Z</t>
  </si>
  <si>
    <t>2025-11-07T22:33:23.548Z</t>
  </si>
  <si>
    <t>2025-11-07T23:42:37.459Z</t>
  </si>
  <si>
    <t>2025-11-08T00:08:21.466Z</t>
  </si>
  <si>
    <t>2025-11-08T00:16:14.441Z</t>
  </si>
  <si>
    <t>2025-11-08T00:28:56.938Z</t>
  </si>
  <si>
    <t>2025-11-08T00:43:33.041Z</t>
  </si>
  <si>
    <t>2025-11-08T00:52:46.688Z</t>
  </si>
  <si>
    <t>2025-11-08T01:03:20.436Z</t>
  </si>
  <si>
    <t>2025-11-08T01:37:10.702Z</t>
  </si>
  <si>
    <t>2025-11-08T01:46:17.723Z</t>
  </si>
  <si>
    <t>2025-11-08T02:04:44.314Z</t>
  </si>
  <si>
    <t>2025-11-08T02:51:34.869Z</t>
  </si>
  <si>
    <t>2025-11-08T03:03:25.213Z</t>
  </si>
  <si>
    <t>2025-11-08T03:19:31.581Z</t>
  </si>
  <si>
    <t>2025-11-08T04:16:03.142Z</t>
  </si>
  <si>
    <t>2025-11-08T04:27:13.084Z</t>
  </si>
  <si>
    <t>2025-11-08T04:40:31.117Z</t>
  </si>
  <si>
    <t>2025-11-08T04:55:19.393Z</t>
  </si>
  <si>
    <t>2025-11-08T06:22:03.540Z</t>
  </si>
  <si>
    <t>2025-11-08T06:53:29.910Z</t>
  </si>
  <si>
    <t>2025-11-08T07:31:27.808Z</t>
  </si>
  <si>
    <t>2025-11-08T07:38:40.049Z</t>
  </si>
  <si>
    <t>2025-11-08T08:16:12.878Z</t>
  </si>
  <si>
    <t>2025-11-08T08:26:09.710Z</t>
  </si>
  <si>
    <t>2025-11-08T09:00:58.800Z</t>
  </si>
  <si>
    <t>2025-11-08T09:18:48.715Z</t>
  </si>
  <si>
    <t>2025-11-08T09:47:17.017Z</t>
  </si>
  <si>
    <t>2025-11-08T09:48:42.468Z</t>
  </si>
  <si>
    <t>2025-11-08T10:42:21.988Z</t>
  </si>
  <si>
    <t>2025-11-08T10:47:16.131Z</t>
  </si>
  <si>
    <t>2025-11-08T11:01:03.820Z</t>
  </si>
  <si>
    <t>2025-11-08T11:13:47.993Z</t>
  </si>
  <si>
    <t>2025-11-08T11:34:23.682Z</t>
  </si>
  <si>
    <t>2025-11-08T12:28:01.391Z</t>
  </si>
  <si>
    <t>2025-11-08T12:45:29.423Z</t>
  </si>
  <si>
    <t>2025-11-08T13:03:07.793Z</t>
  </si>
  <si>
    <t>2025-11-08T13:11:28.337Z</t>
  </si>
  <si>
    <t>2025-11-08T13:14:08.997Z</t>
  </si>
  <si>
    <t>2025-11-08T13:33:27.111Z</t>
  </si>
  <si>
    <t>2025-11-08T13:41:58.587Z</t>
  </si>
  <si>
    <t>2025-11-08T13:53:14.417Z</t>
  </si>
  <si>
    <t>2025-11-08T14:33:53.406Z</t>
  </si>
  <si>
    <t>2025-11-08T15:15:12.815Z</t>
  </si>
  <si>
    <t>2025-11-08T15:57:38.106Z</t>
  </si>
  <si>
    <t>2025-11-08T16:03:47.663Z</t>
  </si>
  <si>
    <t>2025-11-08T16:08:56.857Z</t>
  </si>
  <si>
    <t>2025-11-08T16:13:13.707Z</t>
  </si>
  <si>
    <t>2025-11-08T16:20:47.534Z</t>
  </si>
  <si>
    <t>2025-11-08T16:29:19.453Z</t>
  </si>
  <si>
    <t>2025-11-08T16:52:54.894Z</t>
  </si>
  <si>
    <t>2025-11-08T17:21:12.530Z</t>
  </si>
  <si>
    <t>2025-11-08T18:21:09.860Z</t>
  </si>
  <si>
    <t>2025-11-08T18:30:51.136Z</t>
  </si>
  <si>
    <t>2025-11-08T19:18:22.137Z</t>
  </si>
  <si>
    <t>2025-11-08T19:39:32.384Z</t>
  </si>
  <si>
    <t>2025-11-08T20:52:33.418Z</t>
  </si>
  <si>
    <t>2025-11-08T21:33:48.703Z</t>
  </si>
  <si>
    <t>2025-11-08T22:06:24.160Z</t>
  </si>
  <si>
    <t>2025-11-08T22:29:21.812Z</t>
  </si>
  <si>
    <t>2025-11-08T22:40:00.071Z</t>
  </si>
  <si>
    <t>2025-11-08T22:51:35.716Z</t>
  </si>
  <si>
    <t>2025-11-08T23:00:43.333Z</t>
  </si>
  <si>
    <t>2025-11-08T23:31:39.096Z</t>
  </si>
  <si>
    <t>2025-11-08T23:59:52.369Z</t>
  </si>
  <si>
    <t>2025-11-09T00:35:12.713Z</t>
  </si>
  <si>
    <t>2025-11-09T00:50:37.469Z</t>
  </si>
  <si>
    <t>2025-11-09T01:03:49.032Z</t>
  </si>
  <si>
    <t>2025-11-09T01:28:30.479Z</t>
  </si>
  <si>
    <t>2025-11-09T01:37:41.107Z</t>
  </si>
  <si>
    <t>2025-11-09T02:13:38.723Z</t>
  </si>
  <si>
    <t>2025-11-09T02:27:31.805Z</t>
  </si>
  <si>
    <t>2025-11-09T03:22:00.566Z</t>
  </si>
  <si>
    <t>2025-11-09T03:33:55.791Z</t>
  </si>
  <si>
    <t>2025-11-09T04:48:06.886Z</t>
  </si>
  <si>
    <t>2025-11-09T05:04:58.999Z</t>
  </si>
  <si>
    <t>2025-11-09T05:39:41.112Z</t>
  </si>
  <si>
    <t>2025-11-09T05:47:57.990Z</t>
  </si>
  <si>
    <t>2025-11-09T06:19:09.628Z</t>
  </si>
  <si>
    <t>webhook close short</t>
  </si>
  <si>
    <t>2025-11-09T06:47:33.422Z</t>
  </si>
  <si>
    <t>2025-11-09T07:08:26.214Z</t>
  </si>
  <si>
    <t>2025-11-09T07:22:37.035Z</t>
  </si>
  <si>
    <t>2025-11-09T07:32:19.409Z</t>
  </si>
  <si>
    <t>2025-11-09T08:12:47.620Z</t>
  </si>
  <si>
    <t>2025-11-09T08:14:39.098Z</t>
  </si>
  <si>
    <t>2025-11-09T08:22:11.074Z</t>
  </si>
  <si>
    <t>2025-11-09T08:31:06.709Z</t>
  </si>
  <si>
    <t>2025-11-09T08:40:42.829Z</t>
  </si>
  <si>
    <t>2025-11-09T08:49:12.893Z</t>
  </si>
  <si>
    <t>2025-11-09T09:00:39.763Z</t>
  </si>
  <si>
    <t>2025-11-09T09:16:19.713Z</t>
  </si>
  <si>
    <t>2025-11-09T09:20:51.204Z</t>
  </si>
  <si>
    <t>2025-11-09T09:27:00.326Z</t>
  </si>
  <si>
    <t>2025-11-09T10:47:56.397Z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</si>
</sst>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rgb="FF9900FF"/>
      <name val="Arial"/>
      <scheme val="minor"/>
    </font>
    <font>
      <b/>
      <color rgb="FFBF9000"/>
      <name val="Arial"/>
      <scheme val="minor"/>
    </font>
    <font>
      <b/>
      <color rgb="FFCC4125"/>
      <name val="Arial"/>
      <scheme val="minor"/>
    </font>
    <font>
      <b/>
      <color theme="1"/>
      <name val="Arial"/>
      <scheme val="minor"/>
    </font>
    <font>
      <b/>
      <color rgb="FF38761D"/>
      <name val="Arial"/>
      <scheme val="minor"/>
    </font>
    <font>
      <b/>
      <color rgb="FF000000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left"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7" numFmtId="0" xfId="0" applyAlignment="1" applyFont="1">
      <alignment horizontal="left" readingOrder="0"/>
    </xf>
    <xf borderId="0" fillId="0" fontId="7" numFmtId="0" xfId="0" applyFont="1"/>
    <xf borderId="0" fillId="0" fontId="8" numFmtId="0" xfId="0" applyFont="1"/>
    <xf borderId="0" fillId="0" fontId="7" numFmtId="0" xfId="0" applyAlignment="1" applyFont="1">
      <alignment horizontal="left"/>
    </xf>
  </cellXfs>
  <cellStyles count="1">
    <cellStyle xfId="0" name="Normal" builtinId="0"/>
  </cellStyles>
  <dxfs count="8"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9FC5E8"/>
          <bgColor rgb="FF9FC5E8"/>
        </patternFill>
      </fill>
      <border/>
    </dxf>
    <dxf>
      <font/>
      <fill>
        <patternFill patternType="solid">
          <fgColor rgb="FFD5A6BD"/>
          <bgColor rgb="FFD5A6B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6.38"/>
    <col customWidth="1" min="6" max="6" width="21.13"/>
    <col customWidth="1" min="7" max="7" width="16.75"/>
    <col customWidth="1" min="8" max="8" width="13.75"/>
    <col customWidth="1" min="9" max="9" width="19.5"/>
    <col customWidth="1" min="10" max="10" width="25.63"/>
    <col customWidth="1" min="11" max="11" width="17.38"/>
    <col customWidth="1" min="12" max="12" width="28.13"/>
    <col customWidth="1" min="13" max="13" width="15.5"/>
    <col customWidth="1" min="14" max="14" width="14.63"/>
    <col customWidth="1" min="15" max="15" width="16.88"/>
    <col customWidth="1" min="16" max="16" width="16.25"/>
    <col customWidth="1" min="17" max="17" width="13.38"/>
    <col customWidth="1" min="18" max="18" width="15.25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5" t="s">
        <v>6</v>
      </c>
      <c r="H1" s="6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7" t="s">
        <v>14</v>
      </c>
      <c r="P1" s="4" t="s">
        <v>15</v>
      </c>
      <c r="Q1" s="4" t="s">
        <v>16</v>
      </c>
      <c r="R1" s="8" t="s">
        <v>17</v>
      </c>
      <c r="S1" s="8">
        <v>50.0</v>
      </c>
    </row>
    <row r="2">
      <c r="A2" s="9">
        <v>167.92</v>
      </c>
      <c r="B2" s="9">
        <v>168.12</v>
      </c>
      <c r="C2" s="9">
        <v>0.119</v>
      </c>
      <c r="D2" s="9">
        <v>0.006524855680002162</v>
      </c>
      <c r="E2" s="9">
        <v>17.94</v>
      </c>
      <c r="F2" s="10" t="s">
        <v>18</v>
      </c>
      <c r="G2" s="8" t="s">
        <v>19</v>
      </c>
      <c r="H2" s="9">
        <v>0.010956537657859628</v>
      </c>
      <c r="I2" s="9">
        <v>168.135</v>
      </c>
      <c r="J2" s="9">
        <v>0.0416</v>
      </c>
      <c r="N2" s="11">
        <f>SUM(D:D)
</f>
        <v>-0.7684113634</v>
      </c>
      <c r="O2" s="11">
        <f>N2/COUNT(B:B)
</f>
        <v>-0.002715234499</v>
      </c>
      <c r="P2" s="11">
        <f>SUM(H:H)/COUNT(H:H)</f>
        <v>-0.004315630598</v>
      </c>
      <c r="Q2" s="8">
        <f>((1+(P2/100))^(365*60))*0.99</f>
        <v>0.3847375631</v>
      </c>
      <c r="R2" s="11">
        <f>Q2*S1</f>
        <v>19.23687815</v>
      </c>
      <c r="S2" s="8" t="s">
        <v>20</v>
      </c>
    </row>
    <row r="3">
      <c r="A3" s="9">
        <v>166.28</v>
      </c>
      <c r="B3" s="9">
        <v>166.53</v>
      </c>
      <c r="C3" s="9">
        <v>0.179</v>
      </c>
      <c r="D3" s="9">
        <v>0.019014468320001754</v>
      </c>
      <c r="E3" s="9">
        <v>7.45</v>
      </c>
      <c r="F3" s="8" t="s">
        <v>21</v>
      </c>
      <c r="G3" s="8" t="s">
        <v>19</v>
      </c>
      <c r="H3" s="9">
        <v>0.03161725792249892</v>
      </c>
      <c r="I3" s="9">
        <v>166.485</v>
      </c>
      <c r="J3" s="9">
        <v>0.0369</v>
      </c>
      <c r="Q3" s="11">
        <f>Q2^2</f>
        <v>0.1480229924</v>
      </c>
      <c r="R3" s="11">
        <f>Q3*S1</f>
        <v>7.401149622</v>
      </c>
      <c r="S3" s="8" t="s">
        <v>22</v>
      </c>
    </row>
    <row r="4">
      <c r="A4" s="9">
        <v>164.4</v>
      </c>
      <c r="B4" s="9">
        <v>164.75</v>
      </c>
      <c r="C4" s="9">
        <v>0.179</v>
      </c>
      <c r="D4" s="9">
        <v>0.0371974888000004</v>
      </c>
      <c r="E4" s="9">
        <v>23.85</v>
      </c>
      <c r="F4" s="10" t="s">
        <v>23</v>
      </c>
      <c r="G4" s="8" t="s">
        <v>19</v>
      </c>
      <c r="H4" s="9">
        <v>0.06115267158720066</v>
      </c>
      <c r="I4" s="9">
        <v>164.735</v>
      </c>
      <c r="J4" s="9">
        <v>0.1173</v>
      </c>
      <c r="Q4" s="11">
        <f>Q2^3</f>
        <v>0.05695000539</v>
      </c>
      <c r="R4" s="11">
        <f>Q4*S1</f>
        <v>2.84750027</v>
      </c>
      <c r="S4" s="8" t="s">
        <v>24</v>
      </c>
    </row>
    <row r="5">
      <c r="A5" s="9">
        <v>165.02</v>
      </c>
      <c r="B5" s="9">
        <v>165.37</v>
      </c>
      <c r="C5" s="9">
        <v>0.179</v>
      </c>
      <c r="D5" s="9">
        <v>0.03710160208000346</v>
      </c>
      <c r="E5" s="9">
        <v>39.65</v>
      </c>
      <c r="F5" s="8" t="s">
        <v>25</v>
      </c>
      <c r="G5" s="8" t="s">
        <v>19</v>
      </c>
      <c r="H5" s="9">
        <v>0.06122506375242171</v>
      </c>
      <c r="I5" s="9">
        <v>165.345</v>
      </c>
      <c r="J5" s="9">
        <v>0.1105</v>
      </c>
      <c r="Q5" s="11">
        <f>Q2^4</f>
        <v>0.02191080629</v>
      </c>
      <c r="R5" s="11">
        <f>Q5*S1</f>
        <v>1.095540315</v>
      </c>
      <c r="S5" s="8" t="s">
        <v>26</v>
      </c>
    </row>
    <row r="6">
      <c r="A6" s="9">
        <v>165.42</v>
      </c>
      <c r="B6" s="9">
        <v>165.67</v>
      </c>
      <c r="C6" s="9">
        <v>0.179</v>
      </c>
      <c r="D6" s="9">
        <v>0.01914747248000026</v>
      </c>
      <c r="E6" s="9">
        <v>585.34</v>
      </c>
      <c r="F6" s="10" t="s">
        <v>27</v>
      </c>
      <c r="G6" s="8" t="s">
        <v>19</v>
      </c>
      <c r="H6" s="9">
        <v>0.03167374897641643</v>
      </c>
      <c r="I6" s="9">
        <v>165.665</v>
      </c>
      <c r="J6" s="9">
        <v>0.0617</v>
      </c>
      <c r="Q6" s="11">
        <f>Q2^5</f>
        <v>0.008429910217</v>
      </c>
      <c r="R6" s="11">
        <f>Q6*S1</f>
        <v>0.4214955109</v>
      </c>
      <c r="S6" s="8" t="s">
        <v>28</v>
      </c>
    </row>
    <row r="7">
      <c r="A7" s="9">
        <v>165.47</v>
      </c>
      <c r="B7" s="9">
        <v>165.71</v>
      </c>
      <c r="C7" s="9">
        <v>0.179</v>
      </c>
      <c r="D7" s="9">
        <v>0.01735051296000023</v>
      </c>
      <c r="E7" s="9">
        <v>49.49</v>
      </c>
      <c r="F7" s="10" t="s">
        <v>29</v>
      </c>
      <c r="G7" s="8" t="s">
        <v>19</v>
      </c>
      <c r="H7" s="9">
        <v>0.028709893794912383</v>
      </c>
      <c r="I7" s="9">
        <v>165.68</v>
      </c>
      <c r="J7" s="9">
        <v>0.0405</v>
      </c>
      <c r="Q7" s="11">
        <f>Q2^6</f>
        <v>0.003243303114</v>
      </c>
      <c r="R7" s="11">
        <f>Q7*S1</f>
        <v>0.1621651557</v>
      </c>
    </row>
    <row r="8">
      <c r="A8" s="9">
        <v>164.93</v>
      </c>
      <c r="B8" s="9">
        <v>165.13</v>
      </c>
      <c r="C8" s="9">
        <v>0.179</v>
      </c>
      <c r="D8" s="9">
        <v>0.010277120319997834</v>
      </c>
      <c r="E8" s="9">
        <v>29.23</v>
      </c>
      <c r="F8" s="8" t="s">
        <v>30</v>
      </c>
      <c r="G8" s="8" t="s">
        <v>19</v>
      </c>
      <c r="H8" s="9">
        <v>0.01695005454377243</v>
      </c>
      <c r="I8" s="9">
        <v>165.195</v>
      </c>
      <c r="J8" s="9">
        <v>0.0742</v>
      </c>
      <c r="Q8" s="11">
        <f>Q2^7</f>
        <v>0.001247820536</v>
      </c>
      <c r="R8" s="11">
        <f>Q8*S1</f>
        <v>0.06239102682</v>
      </c>
    </row>
    <row r="9">
      <c r="A9" s="9">
        <v>166.81</v>
      </c>
      <c r="B9" s="9">
        <v>167.1</v>
      </c>
      <c r="C9" s="9">
        <v>0.179</v>
      </c>
      <c r="D9" s="9">
        <v>0.02608940751999711</v>
      </c>
      <c r="E9" s="9">
        <v>522.85</v>
      </c>
      <c r="F9" s="10" t="s">
        <v>31</v>
      </c>
      <c r="G9" s="8" t="s">
        <v>19</v>
      </c>
      <c r="H9" s="9">
        <v>0.043519740684107175</v>
      </c>
      <c r="I9" s="9">
        <v>167.085</v>
      </c>
      <c r="J9" s="9">
        <v>0.0784</v>
      </c>
      <c r="Q9" s="11">
        <f>Q2^8</f>
        <v>0.0004800834323</v>
      </c>
      <c r="R9" s="11">
        <f>Q9*S1</f>
        <v>0.02400417162</v>
      </c>
    </row>
    <row r="10">
      <c r="A10" s="9">
        <v>168.01</v>
      </c>
      <c r="B10" s="9">
        <v>168.25</v>
      </c>
      <c r="C10" s="9">
        <v>0.179</v>
      </c>
      <c r="D10" s="9">
        <v>0.016957686720004972</v>
      </c>
      <c r="E10" s="9">
        <v>459.83</v>
      </c>
      <c r="F10" s="10" t="s">
        <v>32</v>
      </c>
      <c r="G10" s="8" t="s">
        <v>19</v>
      </c>
      <c r="H10" s="9">
        <v>0.02849060945828035</v>
      </c>
      <c r="I10" s="9">
        <v>168.225</v>
      </c>
      <c r="J10" s="9">
        <v>0.0415</v>
      </c>
    </row>
    <row r="11">
      <c r="A11" s="9">
        <v>166.96</v>
      </c>
      <c r="B11" s="9">
        <v>167.2</v>
      </c>
      <c r="C11" s="9">
        <v>0.179</v>
      </c>
      <c r="D11" s="9">
        <v>0.01712007551999406</v>
      </c>
      <c r="E11" s="9">
        <v>28.41</v>
      </c>
      <c r="F11" s="10" t="s">
        <v>33</v>
      </c>
      <c r="G11" s="8" t="s">
        <v>19</v>
      </c>
      <c r="H11" s="9">
        <v>0.02858367808818208</v>
      </c>
      <c r="I11" s="9">
        <v>167.205</v>
      </c>
      <c r="J11" s="9">
        <v>0.0603</v>
      </c>
    </row>
    <row r="12">
      <c r="A12" s="9">
        <v>159.22</v>
      </c>
      <c r="B12" s="9">
        <v>159.45</v>
      </c>
      <c r="C12" s="9">
        <v>0.179</v>
      </c>
      <c r="D12" s="9">
        <v>0.016527886239995127</v>
      </c>
      <c r="E12" s="9">
        <v>23.36</v>
      </c>
      <c r="F12" s="10" t="s">
        <v>34</v>
      </c>
      <c r="G12" s="8" t="s">
        <v>19</v>
      </c>
      <c r="H12" s="9">
        <v>0.02631570047132024</v>
      </c>
      <c r="I12" s="9">
        <v>159.465</v>
      </c>
      <c r="J12" s="9">
        <v>0.0674</v>
      </c>
    </row>
    <row r="13">
      <c r="A13" s="9">
        <v>157.01</v>
      </c>
      <c r="B13" s="9">
        <v>157.13</v>
      </c>
      <c r="C13" s="9">
        <v>0.179</v>
      </c>
      <c r="D13" s="9">
        <v>0.005288547839999325</v>
      </c>
      <c r="E13" s="9">
        <v>626.37</v>
      </c>
      <c r="F13" s="8" t="s">
        <v>35</v>
      </c>
      <c r="G13" s="8" t="s">
        <v>19</v>
      </c>
      <c r="H13" s="9">
        <v>0.008303548963582938</v>
      </c>
      <c r="I13" s="9">
        <v>157.175</v>
      </c>
      <c r="J13" s="9">
        <v>0.0475</v>
      </c>
    </row>
    <row r="14">
      <c r="A14" s="9">
        <v>157.29</v>
      </c>
      <c r="B14" s="9">
        <v>157.42</v>
      </c>
      <c r="C14" s="9">
        <v>0.179</v>
      </c>
      <c r="D14" s="9">
        <v>0.007049420960001385</v>
      </c>
      <c r="E14" s="9">
        <v>17.81</v>
      </c>
      <c r="F14" s="10" t="s">
        <v>36</v>
      </c>
      <c r="G14" s="8" t="s">
        <v>19</v>
      </c>
      <c r="H14" s="9">
        <v>0.011088034227986177</v>
      </c>
      <c r="I14" s="9">
        <v>157.445</v>
      </c>
      <c r="J14" s="9">
        <v>0.0409</v>
      </c>
    </row>
    <row r="15">
      <c r="A15" s="9">
        <v>159.87</v>
      </c>
      <c r="B15" s="9">
        <v>160.0</v>
      </c>
      <c r="C15" s="9">
        <v>0.179</v>
      </c>
      <c r="D15" s="9">
        <v>0.006783412640000819</v>
      </c>
      <c r="E15" s="9">
        <v>238.46</v>
      </c>
      <c r="F15" s="10" t="s">
        <v>37</v>
      </c>
      <c r="G15" s="8" t="s">
        <v>19</v>
      </c>
      <c r="H15" s="9">
        <v>0.010844641787569309</v>
      </c>
      <c r="I15" s="9">
        <v>160.015</v>
      </c>
      <c r="J15" s="9">
        <v>0.0331</v>
      </c>
    </row>
    <row r="16">
      <c r="A16" s="9">
        <v>160.82</v>
      </c>
      <c r="B16" s="9">
        <v>161.02</v>
      </c>
      <c r="C16" s="9">
        <v>0.17</v>
      </c>
      <c r="D16" s="9">
        <v>0.018247609600003045</v>
      </c>
      <c r="E16" s="9">
        <v>86.03</v>
      </c>
      <c r="F16" s="10" t="s">
        <v>38</v>
      </c>
      <c r="G16" s="8" t="s">
        <v>19</v>
      </c>
      <c r="H16" s="9">
        <v>0.029345805758724895</v>
      </c>
      <c r="I16" s="9">
        <v>161.005</v>
      </c>
      <c r="J16" s="9">
        <v>0.0574</v>
      </c>
      <c r="P16" s="12"/>
    </row>
    <row r="17">
      <c r="A17" s="9">
        <v>161.93</v>
      </c>
      <c r="B17" s="9">
        <v>162.05</v>
      </c>
      <c r="C17" s="9">
        <v>0.17</v>
      </c>
      <c r="D17" s="9">
        <v>0.004540876800000149</v>
      </c>
      <c r="E17" s="9">
        <v>44.67</v>
      </c>
      <c r="F17" s="10" t="s">
        <v>39</v>
      </c>
      <c r="G17" s="8" t="s">
        <v>19</v>
      </c>
      <c r="H17" s="9">
        <v>0.007353041802240241</v>
      </c>
      <c r="I17" s="9">
        <v>162.075</v>
      </c>
      <c r="J17" s="9">
        <v>0.0319</v>
      </c>
    </row>
    <row r="18">
      <c r="A18" s="9">
        <v>161.64</v>
      </c>
      <c r="B18" s="9">
        <v>161.78</v>
      </c>
      <c r="C18" s="9">
        <v>0.17</v>
      </c>
      <c r="D18" s="9">
        <v>0.007968783999999118</v>
      </c>
      <c r="E18" s="9">
        <v>7.28</v>
      </c>
      <c r="F18" s="10" t="s">
        <v>40</v>
      </c>
      <c r="G18" s="8" t="s">
        <v>19</v>
      </c>
      <c r="H18" s="9">
        <v>0.012880742457598574</v>
      </c>
      <c r="I18" s="9">
        <v>161.785</v>
      </c>
      <c r="J18" s="9">
        <v>0.0321</v>
      </c>
    </row>
    <row r="19">
      <c r="A19" s="9">
        <v>161.46</v>
      </c>
      <c r="B19" s="9">
        <v>161.67</v>
      </c>
      <c r="C19" s="9">
        <v>0.17</v>
      </c>
      <c r="D19" s="9">
        <v>0.01988469599999476</v>
      </c>
      <c r="E19" s="9">
        <v>55.16</v>
      </c>
      <c r="F19" s="10" t="s">
        <v>41</v>
      </c>
      <c r="G19" s="8" t="s">
        <v>19</v>
      </c>
      <c r="H19" s="9">
        <v>0.03210583016159154</v>
      </c>
      <c r="I19" s="9">
        <v>161.655</v>
      </c>
      <c r="J19" s="9">
        <v>0.0631</v>
      </c>
      <c r="K19" s="9">
        <v>161.435</v>
      </c>
      <c r="L19" s="9">
        <v>-0.0155</v>
      </c>
      <c r="M19" s="8" t="s">
        <v>42</v>
      </c>
    </row>
    <row r="20">
      <c r="A20" s="9">
        <v>161.3</v>
      </c>
      <c r="B20" s="9">
        <v>161.47</v>
      </c>
      <c r="C20" s="9">
        <v>0.17</v>
      </c>
      <c r="D20" s="9">
        <v>0.01310134240000238</v>
      </c>
      <c r="E20" s="9">
        <v>44.8</v>
      </c>
      <c r="F20" s="10" t="s">
        <v>43</v>
      </c>
      <c r="G20" s="8" t="s">
        <v>19</v>
      </c>
      <c r="H20" s="9">
        <v>0.021132465291203835</v>
      </c>
      <c r="I20" s="9">
        <v>161.445</v>
      </c>
      <c r="J20" s="9">
        <v>0.0323</v>
      </c>
      <c r="K20" s="9">
        <v>161.215</v>
      </c>
      <c r="L20" s="9">
        <v>-0.0527</v>
      </c>
      <c r="M20" s="8" t="s">
        <v>42</v>
      </c>
    </row>
    <row r="21">
      <c r="A21" s="9">
        <v>160.52</v>
      </c>
      <c r="B21" s="9">
        <v>160.34</v>
      </c>
      <c r="C21" s="9">
        <v>0.179</v>
      </c>
      <c r="D21" s="9">
        <v>0.015674385600007675</v>
      </c>
      <c r="E21" s="9">
        <v>28.41</v>
      </c>
      <c r="F21" s="10" t="s">
        <v>44</v>
      </c>
      <c r="G21" s="8" t="s">
        <v>19</v>
      </c>
      <c r="H21" s="9">
        <v>0.025160523765132302</v>
      </c>
      <c r="I21" s="9">
        <v>160.525</v>
      </c>
      <c r="J21" s="9">
        <v>0.0607</v>
      </c>
      <c r="K21" s="9">
        <v>160.385</v>
      </c>
      <c r="L21" s="9">
        <v>0.0031</v>
      </c>
      <c r="M21" s="8" t="s">
        <v>45</v>
      </c>
    </row>
    <row r="22">
      <c r="A22" s="9">
        <v>160.53</v>
      </c>
      <c r="B22" s="9">
        <v>160.72</v>
      </c>
      <c r="C22" s="9">
        <v>0.179</v>
      </c>
      <c r="D22" s="9">
        <v>0.017453817440003412</v>
      </c>
      <c r="E22" s="9">
        <v>8.66</v>
      </c>
      <c r="F22" s="10" t="s">
        <v>46</v>
      </c>
      <c r="G22" s="8" t="s">
        <v>19</v>
      </c>
      <c r="H22" s="9">
        <v>0.02801861313643747</v>
      </c>
      <c r="I22" s="9">
        <v>160.735</v>
      </c>
      <c r="J22" s="9">
        <v>0.0701</v>
      </c>
      <c r="K22" s="9">
        <v>160.525</v>
      </c>
      <c r="L22" s="9">
        <v>-0.0031</v>
      </c>
      <c r="M22" s="8" t="s">
        <v>42</v>
      </c>
    </row>
    <row r="23">
      <c r="A23" s="9">
        <v>161.0</v>
      </c>
      <c r="B23" s="9">
        <v>161.39</v>
      </c>
      <c r="C23" s="9">
        <v>0.17</v>
      </c>
      <c r="D23" s="9">
        <v>0.05052533279999949</v>
      </c>
      <c r="E23" s="9">
        <v>9.35</v>
      </c>
      <c r="F23" s="8" t="s">
        <v>47</v>
      </c>
      <c r="G23" s="8" t="s">
        <v>19</v>
      </c>
      <c r="H23" s="9">
        <v>0.08134578580799919</v>
      </c>
      <c r="I23" s="9">
        <v>161.175</v>
      </c>
      <c r="J23" s="9">
        <v>0.0511</v>
      </c>
      <c r="K23" s="9">
        <v>160.995</v>
      </c>
      <c r="L23" s="9">
        <v>-0.0031</v>
      </c>
      <c r="M23" s="8" t="s">
        <v>42</v>
      </c>
    </row>
    <row r="24">
      <c r="A24" s="9">
        <v>163.01</v>
      </c>
      <c r="B24" s="9">
        <v>162.75</v>
      </c>
      <c r="C24" s="9">
        <v>0.17</v>
      </c>
      <c r="D24" s="9">
        <v>0.02824442560000051</v>
      </c>
      <c r="E24" s="9">
        <v>24.24</v>
      </c>
      <c r="F24" s="10" t="s">
        <v>48</v>
      </c>
      <c r="G24" s="8" t="s">
        <v>19</v>
      </c>
      <c r="H24" s="9">
        <v>0.04604123817056083</v>
      </c>
      <c r="I24" s="9">
        <v>163.01</v>
      </c>
      <c r="J24" s="9">
        <v>0.0576</v>
      </c>
      <c r="K24" s="9">
        <v>162.855</v>
      </c>
      <c r="L24" s="9">
        <v>0.0</v>
      </c>
      <c r="M24" s="8" t="s">
        <v>45</v>
      </c>
    </row>
    <row r="25">
      <c r="A25" s="9">
        <v>164.95</v>
      </c>
      <c r="B25" s="9">
        <v>165.1</v>
      </c>
      <c r="C25" s="9">
        <v>0.17</v>
      </c>
      <c r="D25" s="9">
        <v>0.009344424000001794</v>
      </c>
      <c r="E25" s="9">
        <v>409.01</v>
      </c>
      <c r="F25" s="8" t="s">
        <v>49</v>
      </c>
      <c r="G25" s="8" t="s">
        <v>19</v>
      </c>
      <c r="H25" s="9">
        <v>0.015413627388002959</v>
      </c>
      <c r="I25" s="9">
        <v>165.185</v>
      </c>
      <c r="J25" s="9">
        <v>0.0848</v>
      </c>
      <c r="K25" s="9">
        <v>164.385</v>
      </c>
      <c r="L25" s="9">
        <v>-0.3425</v>
      </c>
      <c r="M25" s="8" t="s">
        <v>42</v>
      </c>
    </row>
    <row r="26">
      <c r="A26" s="9">
        <v>163.25</v>
      </c>
      <c r="B26" s="9">
        <v>163.14</v>
      </c>
      <c r="C26" s="9">
        <v>0.17</v>
      </c>
      <c r="D26" s="9">
        <v>0.0027172528000036777</v>
      </c>
      <c r="E26" s="9">
        <v>119.37</v>
      </c>
      <c r="F26" s="8" t="s">
        <v>50</v>
      </c>
      <c r="G26" s="8" t="s">
        <v>19</v>
      </c>
      <c r="H26" s="9">
        <v>0.004435915196006004</v>
      </c>
      <c r="I26" s="9">
        <v>163.505</v>
      </c>
      <c r="J26" s="9">
        <v>0.2139</v>
      </c>
      <c r="K26" s="9">
        <v>163.065</v>
      </c>
      <c r="L26" s="9">
        <v>0.1562</v>
      </c>
      <c r="M26" s="8" t="s">
        <v>45</v>
      </c>
    </row>
    <row r="27">
      <c r="A27" s="9">
        <v>155.08</v>
      </c>
      <c r="B27" s="9">
        <v>155.24</v>
      </c>
      <c r="C27" s="9">
        <v>0.179</v>
      </c>
      <c r="D27" s="9">
        <v>0.012646507519999517</v>
      </c>
      <c r="E27" s="9">
        <v>8.64</v>
      </c>
      <c r="F27" s="10" t="s">
        <v>51</v>
      </c>
      <c r="G27" s="8" t="s">
        <v>19</v>
      </c>
      <c r="H27" s="9">
        <v>0.019612203862015253</v>
      </c>
      <c r="I27" s="9">
        <v>155.235</v>
      </c>
      <c r="J27" s="9">
        <v>0.0423</v>
      </c>
      <c r="K27" s="9">
        <v>155.06</v>
      </c>
      <c r="L27" s="9">
        <v>-0.0129</v>
      </c>
      <c r="M27" s="8" t="s">
        <v>42</v>
      </c>
    </row>
    <row r="28">
      <c r="A28" s="9">
        <v>155.59</v>
      </c>
      <c r="B28" s="9">
        <v>155.47</v>
      </c>
      <c r="C28" s="9">
        <v>0.179</v>
      </c>
      <c r="D28" s="9">
        <v>0.0054411417600022105</v>
      </c>
      <c r="E28" s="9">
        <v>13.16</v>
      </c>
      <c r="F28" s="10" t="s">
        <v>52</v>
      </c>
      <c r="G28" s="8" t="s">
        <v>19</v>
      </c>
      <c r="H28" s="9">
        <v>0.00846587246438744</v>
      </c>
      <c r="I28" s="9">
        <v>155.595</v>
      </c>
      <c r="J28" s="9">
        <v>0.0608</v>
      </c>
      <c r="K28" s="9">
        <v>155.415</v>
      </c>
      <c r="L28" s="9">
        <v>0.0032</v>
      </c>
      <c r="M28" s="8" t="s">
        <v>45</v>
      </c>
    </row>
    <row r="29">
      <c r="A29" s="9">
        <v>154.72</v>
      </c>
      <c r="B29" s="9">
        <v>154.88</v>
      </c>
      <c r="C29" s="9">
        <v>0.179</v>
      </c>
      <c r="D29" s="9">
        <v>0.01268362495999753</v>
      </c>
      <c r="E29" s="9">
        <v>35.34</v>
      </c>
      <c r="F29" s="10" t="s">
        <v>53</v>
      </c>
      <c r="G29" s="8" t="s">
        <v>19</v>
      </c>
      <c r="H29" s="9">
        <v>0.01962410453810818</v>
      </c>
      <c r="I29" s="9">
        <v>154.865</v>
      </c>
      <c r="J29" s="9">
        <v>0.0361</v>
      </c>
      <c r="K29" s="9">
        <v>154.685</v>
      </c>
      <c r="L29" s="9">
        <v>-0.0226</v>
      </c>
      <c r="M29" s="8" t="s">
        <v>42</v>
      </c>
    </row>
    <row r="30">
      <c r="A30" s="9">
        <v>150.73</v>
      </c>
      <c r="B30" s="9">
        <v>151.12</v>
      </c>
      <c r="C30" s="9">
        <v>0.179</v>
      </c>
      <c r="D30" s="9">
        <v>0.05425908144000502</v>
      </c>
      <c r="E30" s="9">
        <v>19.52</v>
      </c>
      <c r="F30" s="10" t="s">
        <v>54</v>
      </c>
      <c r="G30" s="8" t="s">
        <v>19</v>
      </c>
      <c r="H30" s="9">
        <v>0.08178471345451956</v>
      </c>
      <c r="I30" s="9">
        <v>151.005</v>
      </c>
      <c r="J30" s="9">
        <v>0.1248</v>
      </c>
      <c r="K30" s="9">
        <v>150.595</v>
      </c>
      <c r="L30" s="9">
        <v>-0.0896</v>
      </c>
      <c r="M30" s="8" t="s">
        <v>42</v>
      </c>
    </row>
    <row r="31">
      <c r="A31" s="9">
        <v>152.13</v>
      </c>
      <c r="B31" s="9">
        <v>151.96</v>
      </c>
      <c r="C31" s="9">
        <v>0.179</v>
      </c>
      <c r="D31" s="9">
        <v>0.014749170400001788</v>
      </c>
      <c r="E31" s="9">
        <v>24.7</v>
      </c>
      <c r="F31" s="10" t="s">
        <v>55</v>
      </c>
      <c r="G31" s="8" t="s">
        <v>19</v>
      </c>
      <c r="H31" s="9">
        <v>0.022437912929522717</v>
      </c>
      <c r="I31" s="9">
        <v>152.135</v>
      </c>
      <c r="J31" s="9">
        <v>0.0609</v>
      </c>
      <c r="K31" s="9">
        <v>152.005</v>
      </c>
      <c r="L31" s="9">
        <v>0.0033</v>
      </c>
      <c r="M31" s="8" t="s">
        <v>45</v>
      </c>
    </row>
    <row r="32">
      <c r="A32" s="9">
        <v>153.18</v>
      </c>
      <c r="B32" s="9">
        <v>154.37</v>
      </c>
      <c r="C32" s="9">
        <v>0.179</v>
      </c>
      <c r="D32" s="9">
        <v>0.1971858558400008</v>
      </c>
      <c r="E32" s="9">
        <v>142.74</v>
      </c>
      <c r="F32" s="10" t="s">
        <v>56</v>
      </c>
      <c r="G32" s="8" t="s">
        <v>19</v>
      </c>
      <c r="H32" s="9">
        <v>0.30204929397571323</v>
      </c>
      <c r="I32" s="9">
        <v>154.605</v>
      </c>
      <c r="J32" s="9">
        <v>0.9884</v>
      </c>
      <c r="K32" s="9">
        <v>153.18</v>
      </c>
      <c r="L32" s="9">
        <v>0.0</v>
      </c>
      <c r="M32" s="8" t="s">
        <v>42</v>
      </c>
    </row>
    <row r="33">
      <c r="A33" s="9">
        <v>152.34</v>
      </c>
      <c r="B33" s="9">
        <v>152.56</v>
      </c>
      <c r="C33" s="9">
        <v>0.179</v>
      </c>
      <c r="D33" s="9">
        <v>0.02366746591999558</v>
      </c>
      <c r="E33" s="9">
        <v>45.94</v>
      </c>
      <c r="F33" s="8" t="s">
        <v>57</v>
      </c>
      <c r="G33" s="8" t="s">
        <v>19</v>
      </c>
      <c r="H33" s="9">
        <v>0.03605501758252127</v>
      </c>
      <c r="I33" s="9">
        <v>152.535</v>
      </c>
      <c r="J33" s="9">
        <v>0.0704</v>
      </c>
      <c r="K33" s="9">
        <v>152.135</v>
      </c>
      <c r="L33" s="9">
        <v>-0.1346</v>
      </c>
      <c r="M33" s="8" t="s">
        <v>42</v>
      </c>
    </row>
    <row r="34">
      <c r="A34" s="9">
        <v>152.73</v>
      </c>
      <c r="B34" s="9">
        <v>152.72</v>
      </c>
      <c r="C34" s="9">
        <v>0.179</v>
      </c>
      <c r="D34" s="9">
        <v>-0.01395681616000033</v>
      </c>
      <c r="E34" s="9">
        <v>233.22</v>
      </c>
      <c r="F34" s="8" t="s">
        <v>58</v>
      </c>
      <c r="G34" s="8" t="s">
        <v>19</v>
      </c>
      <c r="H34" s="9">
        <v>-0.021316245321168503</v>
      </c>
      <c r="I34" s="9">
        <v>153.995</v>
      </c>
      <c r="J34" s="9">
        <v>0.8864</v>
      </c>
      <c r="K34" s="9">
        <v>152.565</v>
      </c>
      <c r="L34" s="9">
        <v>0.8283</v>
      </c>
      <c r="M34" s="8" t="s">
        <v>45</v>
      </c>
    </row>
    <row r="35">
      <c r="A35" s="9">
        <v>151.54</v>
      </c>
      <c r="B35" s="9">
        <v>151.69</v>
      </c>
      <c r="C35" s="9">
        <v>0.17</v>
      </c>
      <c r="D35" s="9">
        <v>0.010657531199999681</v>
      </c>
      <c r="E35" s="9">
        <v>39.43</v>
      </c>
      <c r="F35" s="8" t="s">
        <v>59</v>
      </c>
      <c r="G35" s="8" t="s">
        <v>19</v>
      </c>
      <c r="H35" s="9">
        <v>0.016150422780479515</v>
      </c>
      <c r="I35" s="9">
        <v>151.685</v>
      </c>
      <c r="J35" s="9">
        <v>0.0381</v>
      </c>
      <c r="K35" s="9">
        <v>151.445</v>
      </c>
      <c r="L35" s="9">
        <v>-0.0627</v>
      </c>
      <c r="M35" s="8" t="s">
        <v>42</v>
      </c>
    </row>
    <row r="36">
      <c r="A36" s="9">
        <v>148.16</v>
      </c>
      <c r="B36" s="9">
        <v>147.91</v>
      </c>
      <c r="C36" s="9">
        <v>0.179</v>
      </c>
      <c r="D36" s="9">
        <v>-0.0600194446399982</v>
      </c>
      <c r="E36" s="9">
        <v>24.76</v>
      </c>
      <c r="F36" s="10" t="s">
        <v>60</v>
      </c>
      <c r="G36" s="8" t="s">
        <v>19</v>
      </c>
      <c r="H36" s="9">
        <v>-0.08892480917862133</v>
      </c>
      <c r="I36" s="9">
        <v>148.395</v>
      </c>
      <c r="J36" s="9">
        <v>0.101</v>
      </c>
      <c r="K36" s="9">
        <v>148.125</v>
      </c>
      <c r="L36" s="9">
        <v>-0.0236</v>
      </c>
      <c r="M36" s="8" t="s">
        <v>42</v>
      </c>
    </row>
    <row r="37">
      <c r="A37" s="9">
        <v>148.04</v>
      </c>
      <c r="B37" s="9">
        <v>147.89</v>
      </c>
      <c r="C37" s="9">
        <v>0.179</v>
      </c>
      <c r="D37" s="9">
        <v>0.011590350240002323</v>
      </c>
      <c r="E37" s="9">
        <v>23.9</v>
      </c>
      <c r="F37" s="10" t="s">
        <v>61</v>
      </c>
      <c r="G37" s="8" t="s">
        <v>19</v>
      </c>
      <c r="H37" s="9">
        <v>0.017158354495299438</v>
      </c>
      <c r="I37" s="9">
        <v>148.225</v>
      </c>
      <c r="J37" s="9">
        <v>0.1827</v>
      </c>
      <c r="K37" s="9">
        <v>147.865</v>
      </c>
      <c r="L37" s="9">
        <v>0.125</v>
      </c>
      <c r="M37" s="8" t="s">
        <v>45</v>
      </c>
    </row>
    <row r="38">
      <c r="A38" s="9">
        <v>148.04</v>
      </c>
      <c r="B38" s="9">
        <v>148.35</v>
      </c>
      <c r="C38" s="9">
        <v>0.179</v>
      </c>
      <c r="D38" s="9">
        <v>0.040218493280001155</v>
      </c>
      <c r="E38" s="9">
        <v>8.4</v>
      </c>
      <c r="F38" s="10" t="s">
        <v>62</v>
      </c>
      <c r="G38" s="8" t="s">
        <v>19</v>
      </c>
      <c r="H38" s="9">
        <v>0.059539457451713705</v>
      </c>
      <c r="I38" s="9">
        <v>148.335</v>
      </c>
      <c r="J38" s="9">
        <v>0.1416</v>
      </c>
      <c r="K38" s="9">
        <v>148.035</v>
      </c>
      <c r="L38" s="9">
        <v>-0.0034</v>
      </c>
      <c r="M38" s="8" t="s">
        <v>42</v>
      </c>
    </row>
    <row r="39">
      <c r="A39" s="9">
        <v>155.07</v>
      </c>
      <c r="B39" s="9">
        <v>155.23</v>
      </c>
      <c r="C39" s="9">
        <v>0.17</v>
      </c>
      <c r="D39" s="9">
        <v>0.012011628799996288</v>
      </c>
      <c r="E39" s="9">
        <v>86.68</v>
      </c>
      <c r="F39" s="10" t="s">
        <v>63</v>
      </c>
      <c r="G39" s="8" t="s">
        <v>19</v>
      </c>
      <c r="H39" s="9">
        <v>0.01862643278015424</v>
      </c>
      <c r="I39" s="9">
        <v>155.235</v>
      </c>
      <c r="J39" s="9">
        <v>0.0488</v>
      </c>
      <c r="K39" s="9">
        <v>154.905</v>
      </c>
      <c r="L39" s="9">
        <v>-0.1064</v>
      </c>
      <c r="M39" s="8" t="s">
        <v>42</v>
      </c>
    </row>
    <row r="40">
      <c r="A40" s="9">
        <v>154.59</v>
      </c>
      <c r="B40" s="9">
        <v>154.39</v>
      </c>
      <c r="C40" s="9">
        <v>0.17</v>
      </c>
      <c r="D40" s="9">
        <v>0.018867443200008438</v>
      </c>
      <c r="E40" s="9">
        <v>625.07</v>
      </c>
      <c r="F40" s="10" t="s">
        <v>64</v>
      </c>
      <c r="G40" s="8" t="s">
        <v>19</v>
      </c>
      <c r="H40" s="9">
        <v>0.029167180442893046</v>
      </c>
      <c r="I40" s="9">
        <v>154.995</v>
      </c>
      <c r="J40" s="9">
        <v>0.3198</v>
      </c>
      <c r="K40" s="9">
        <v>154.385</v>
      </c>
      <c r="L40" s="9">
        <v>0.262</v>
      </c>
      <c r="M40" s="8" t="s">
        <v>45</v>
      </c>
    </row>
    <row r="41">
      <c r="A41" s="9">
        <v>155.06</v>
      </c>
      <c r="B41" s="9">
        <v>155.14</v>
      </c>
      <c r="C41" s="9">
        <v>0.17</v>
      </c>
      <c r="D41" s="9">
        <v>-0.001585433600002517</v>
      </c>
      <c r="E41" s="9">
        <v>34.67</v>
      </c>
      <c r="F41" s="10" t="s">
        <v>65</v>
      </c>
      <c r="G41" s="8" t="s">
        <v>19</v>
      </c>
      <c r="H41" s="9">
        <v>-0.002458373340163903</v>
      </c>
      <c r="I41" s="9">
        <v>155.335</v>
      </c>
      <c r="J41" s="9">
        <v>0.1197</v>
      </c>
      <c r="K41" s="9">
        <v>154.975</v>
      </c>
      <c r="L41" s="9">
        <v>-0.0548</v>
      </c>
      <c r="M41" s="8" t="s">
        <v>42</v>
      </c>
    </row>
    <row r="42">
      <c r="A42" s="9">
        <v>154.3</v>
      </c>
      <c r="B42" s="9">
        <v>154.12</v>
      </c>
      <c r="C42" s="9">
        <v>0.17</v>
      </c>
      <c r="D42" s="9">
        <v>0.015495350400005492</v>
      </c>
      <c r="E42" s="9">
        <v>33.83</v>
      </c>
      <c r="F42" s="10" t="s">
        <v>66</v>
      </c>
      <c r="G42" s="8" t="s">
        <v>19</v>
      </c>
      <c r="H42" s="9">
        <v>0.023909325667208478</v>
      </c>
      <c r="I42" s="9">
        <v>154.395</v>
      </c>
      <c r="J42" s="9">
        <v>0.1192</v>
      </c>
      <c r="K42" s="9">
        <v>154.115</v>
      </c>
      <c r="L42" s="9">
        <v>0.0616</v>
      </c>
      <c r="M42" s="8" t="s">
        <v>45</v>
      </c>
    </row>
    <row r="43">
      <c r="A43" s="9">
        <v>152.57</v>
      </c>
      <c r="B43" s="9">
        <v>152.34</v>
      </c>
      <c r="C43" s="9">
        <v>0.17</v>
      </c>
      <c r="D43" s="9">
        <v>0.024165975999999034</v>
      </c>
      <c r="E43" s="9">
        <v>91.73</v>
      </c>
      <c r="F43" s="8" t="s">
        <v>67</v>
      </c>
      <c r="G43" s="8" t="s">
        <v>19</v>
      </c>
      <c r="H43" s="9">
        <v>0.03687002958319852</v>
      </c>
      <c r="I43" s="9">
        <v>152.735</v>
      </c>
      <c r="J43" s="9">
        <v>0.1658</v>
      </c>
      <c r="K43" s="9">
        <v>152.305</v>
      </c>
      <c r="L43" s="9">
        <v>0.1081</v>
      </c>
      <c r="M43" s="8" t="s">
        <v>45</v>
      </c>
    </row>
    <row r="44">
      <c r="A44" s="9">
        <v>149.08</v>
      </c>
      <c r="B44" s="9">
        <v>149.26</v>
      </c>
      <c r="C44" s="9">
        <v>0.17</v>
      </c>
      <c r="D44" s="9">
        <v>0.015997679999994574</v>
      </c>
      <c r="E44" s="9">
        <v>44.73</v>
      </c>
      <c r="F44" s="10" t="s">
        <v>68</v>
      </c>
      <c r="G44" s="8" t="s">
        <v>19</v>
      </c>
      <c r="H44" s="9">
        <v>0.023849341343991914</v>
      </c>
      <c r="I44" s="9">
        <v>149.26</v>
      </c>
      <c r="J44" s="9">
        <v>0.0631</v>
      </c>
      <c r="K44" s="9">
        <v>148.985</v>
      </c>
      <c r="L44" s="9">
        <v>-0.0637</v>
      </c>
      <c r="M44" s="8" t="s">
        <v>42</v>
      </c>
    </row>
    <row r="45">
      <c r="A45" s="9">
        <v>156.16</v>
      </c>
      <c r="B45" s="9">
        <v>156.01</v>
      </c>
      <c r="C45" s="9">
        <v>0.17</v>
      </c>
      <c r="D45" s="9">
        <v>0.010212484800000254</v>
      </c>
      <c r="E45" s="9">
        <v>80.66</v>
      </c>
      <c r="F45" s="10" t="s">
        <v>69</v>
      </c>
      <c r="G45" s="8" t="s">
        <v>19</v>
      </c>
      <c r="H45" s="9">
        <v>0.015947816263680397</v>
      </c>
      <c r="I45" s="9">
        <v>156.205</v>
      </c>
      <c r="J45" s="9">
        <v>0.0865</v>
      </c>
      <c r="K45" s="9">
        <v>156.005</v>
      </c>
      <c r="L45" s="9">
        <v>0.0288</v>
      </c>
      <c r="M45" s="8" t="s">
        <v>45</v>
      </c>
    </row>
    <row r="46">
      <c r="A46" s="9">
        <v>156.57</v>
      </c>
      <c r="B46" s="9">
        <v>156.72</v>
      </c>
      <c r="C46" s="9">
        <v>0.17</v>
      </c>
      <c r="D46" s="9">
        <v>0.010164993600000116</v>
      </c>
      <c r="E46" s="9">
        <v>28.53</v>
      </c>
      <c r="F46" s="10" t="s">
        <v>70</v>
      </c>
      <c r="G46" s="8" t="s">
        <v>19</v>
      </c>
      <c r="H46" s="9">
        <v>0.015915330479520182</v>
      </c>
      <c r="I46" s="9">
        <v>156.725</v>
      </c>
      <c r="J46" s="9">
        <v>0.0414</v>
      </c>
      <c r="K46" s="9">
        <v>156.565</v>
      </c>
      <c r="L46" s="9">
        <v>-0.0032</v>
      </c>
      <c r="M46" s="8" t="s">
        <v>42</v>
      </c>
    </row>
    <row r="47">
      <c r="A47" s="9">
        <v>156.91</v>
      </c>
      <c r="B47" s="9">
        <v>156.76</v>
      </c>
      <c r="C47" s="9">
        <v>0.17</v>
      </c>
      <c r="D47" s="9">
        <v>0.010139044800002495</v>
      </c>
      <c r="E47" s="9">
        <v>186.11</v>
      </c>
      <c r="F47" s="10" t="s">
        <v>71</v>
      </c>
      <c r="G47" s="8" t="s">
        <v>19</v>
      </c>
      <c r="H47" s="9">
        <v>0.015909175195683915</v>
      </c>
      <c r="I47" s="9">
        <v>157.015</v>
      </c>
      <c r="J47" s="9">
        <v>0.1246</v>
      </c>
      <c r="K47" s="9">
        <v>156.755</v>
      </c>
      <c r="L47" s="9">
        <v>0.0669</v>
      </c>
      <c r="M47" s="8" t="s">
        <v>45</v>
      </c>
    </row>
    <row r="48">
      <c r="A48" s="9">
        <v>157.64</v>
      </c>
      <c r="B48" s="9">
        <v>157.8</v>
      </c>
      <c r="C48" s="9">
        <v>0.17</v>
      </c>
      <c r="D48" s="9">
        <v>0.01175997440000387</v>
      </c>
      <c r="E48" s="9">
        <v>50.01</v>
      </c>
      <c r="F48" s="10" t="s">
        <v>72</v>
      </c>
      <c r="G48" s="8" t="s">
        <v>19</v>
      </c>
      <c r="H48" s="9">
        <v>0.018538423644166097</v>
      </c>
      <c r="I48" s="9">
        <v>157.815</v>
      </c>
      <c r="J48" s="9">
        <v>0.0534</v>
      </c>
      <c r="K48" s="9">
        <v>157.395</v>
      </c>
      <c r="L48" s="9">
        <v>-0.1554</v>
      </c>
      <c r="M48" s="8" t="s">
        <v>42</v>
      </c>
    </row>
    <row r="49">
      <c r="A49" s="9">
        <v>157.47</v>
      </c>
      <c r="B49" s="9">
        <v>157.31</v>
      </c>
      <c r="C49" s="9">
        <v>0.17</v>
      </c>
      <c r="D49" s="9">
        <v>0.011784454400004307</v>
      </c>
      <c r="E49" s="9">
        <v>148.7</v>
      </c>
      <c r="F49" s="10" t="s">
        <v>73</v>
      </c>
      <c r="G49" s="8" t="s">
        <v>19</v>
      </c>
      <c r="H49" s="9">
        <v>0.01855698034368678</v>
      </c>
      <c r="I49" s="9">
        <v>157.715</v>
      </c>
      <c r="J49" s="9">
        <v>0.2133</v>
      </c>
      <c r="K49" s="9">
        <v>157.315</v>
      </c>
      <c r="L49" s="9">
        <v>0.1556</v>
      </c>
      <c r="M49" s="8" t="s">
        <v>45</v>
      </c>
    </row>
    <row r="50">
      <c r="A50" s="9">
        <v>157.42</v>
      </c>
      <c r="B50" s="9">
        <v>157.56</v>
      </c>
      <c r="C50" s="9">
        <v>0.17</v>
      </c>
      <c r="D50" s="9">
        <v>0.00838200640000153</v>
      </c>
      <c r="E50" s="9">
        <v>54.84</v>
      </c>
      <c r="F50" s="10" t="s">
        <v>74</v>
      </c>
      <c r="G50" s="8" t="s">
        <v>19</v>
      </c>
      <c r="H50" s="9">
        <v>0.013194954474882406</v>
      </c>
      <c r="I50" s="9">
        <v>157.585</v>
      </c>
      <c r="J50" s="9">
        <v>0.0472</v>
      </c>
      <c r="K50" s="9">
        <v>157.41</v>
      </c>
      <c r="L50" s="9">
        <v>-0.0064</v>
      </c>
      <c r="M50" s="8" t="s">
        <v>42</v>
      </c>
    </row>
    <row r="51">
      <c r="A51" s="9">
        <v>156.76</v>
      </c>
      <c r="B51" s="9">
        <v>156.6</v>
      </c>
      <c r="C51" s="9">
        <v>0.17</v>
      </c>
      <c r="D51" s="9">
        <v>0.011853977600004839</v>
      </c>
      <c r="E51" s="9">
        <v>34.11</v>
      </c>
      <c r="F51" s="10" t="s">
        <v>75</v>
      </c>
      <c r="G51" s="8" t="s">
        <v>19</v>
      </c>
      <c r="H51" s="9">
        <v>0.018582295285767585</v>
      </c>
      <c r="I51" s="9">
        <v>156.785</v>
      </c>
      <c r="J51" s="9">
        <v>0.0736</v>
      </c>
      <c r="K51" s="9">
        <v>156.595</v>
      </c>
      <c r="L51" s="9">
        <v>0.0159</v>
      </c>
      <c r="M51" s="8" t="s">
        <v>45</v>
      </c>
    </row>
    <row r="52">
      <c r="A52" s="9">
        <v>157.54</v>
      </c>
      <c r="B52" s="9">
        <v>157.71</v>
      </c>
      <c r="C52" s="9">
        <v>0.17</v>
      </c>
      <c r="D52" s="9">
        <v>0.013469521600004697</v>
      </c>
      <c r="E52" s="9">
        <v>17.58</v>
      </c>
      <c r="F52" s="10" t="s">
        <v>76</v>
      </c>
      <c r="G52" s="8" t="s">
        <v>19</v>
      </c>
      <c r="H52" s="9">
        <v>0.0212198843286474</v>
      </c>
      <c r="I52" s="9">
        <v>157.715</v>
      </c>
      <c r="J52" s="9">
        <v>0.0535</v>
      </c>
      <c r="K52" s="9">
        <v>157.515</v>
      </c>
      <c r="L52" s="9">
        <v>-0.0159</v>
      </c>
      <c r="M52" s="8" t="s">
        <v>42</v>
      </c>
    </row>
    <row r="53">
      <c r="A53" s="9">
        <v>157.03</v>
      </c>
      <c r="B53" s="9">
        <v>156.88</v>
      </c>
      <c r="C53" s="9">
        <v>0.17</v>
      </c>
      <c r="D53" s="9">
        <v>0.010127294400003706</v>
      </c>
      <c r="E53" s="9">
        <v>81.31</v>
      </c>
      <c r="F53" s="10" t="s">
        <v>77</v>
      </c>
      <c r="G53" s="8" t="s">
        <v>19</v>
      </c>
      <c r="H53" s="9">
        <v>0.01590289039632582</v>
      </c>
      <c r="I53" s="9">
        <v>157.085</v>
      </c>
      <c r="J53" s="9">
        <v>0.0927</v>
      </c>
      <c r="K53" s="9">
        <v>156.875</v>
      </c>
      <c r="L53" s="9">
        <v>0.035</v>
      </c>
      <c r="M53" s="8" t="s">
        <v>45</v>
      </c>
    </row>
    <row r="54">
      <c r="A54" s="9">
        <v>157.69</v>
      </c>
      <c r="B54" s="9">
        <v>157.83</v>
      </c>
      <c r="C54" s="9">
        <v>0.17</v>
      </c>
      <c r="D54" s="9">
        <v>0.008355567999998925</v>
      </c>
      <c r="E54" s="9">
        <v>97.14</v>
      </c>
      <c r="F54" s="10" t="s">
        <v>78</v>
      </c>
      <c r="G54" s="8" t="s">
        <v>19</v>
      </c>
      <c r="H54" s="9">
        <v>0.013175895179198305</v>
      </c>
      <c r="I54" s="9">
        <v>157.835</v>
      </c>
      <c r="J54" s="9">
        <v>0.0343</v>
      </c>
      <c r="K54" s="9">
        <v>157.685</v>
      </c>
      <c r="L54" s="9">
        <v>-0.0032</v>
      </c>
      <c r="M54" s="8" t="s">
        <v>42</v>
      </c>
    </row>
    <row r="55">
      <c r="A55" s="9">
        <v>157.31</v>
      </c>
      <c r="B55" s="9">
        <v>157.19</v>
      </c>
      <c r="C55" s="9">
        <v>0.17</v>
      </c>
      <c r="D55" s="9">
        <v>0.004999142400002654</v>
      </c>
      <c r="E55" s="9">
        <v>38.74</v>
      </c>
      <c r="F55" s="10" t="s">
        <v>79</v>
      </c>
      <c r="G55" s="8" t="s">
        <v>19</v>
      </c>
      <c r="H55" s="9">
        <v>0.007864150909444175</v>
      </c>
      <c r="I55" s="9">
        <v>157.345</v>
      </c>
      <c r="J55" s="9">
        <v>0.0799</v>
      </c>
      <c r="K55" s="9">
        <v>157.185</v>
      </c>
      <c r="L55" s="9">
        <v>0.0222</v>
      </c>
      <c r="M55" s="8" t="s">
        <v>45</v>
      </c>
    </row>
    <row r="56">
      <c r="A56" s="9">
        <v>154.72</v>
      </c>
      <c r="B56" s="9">
        <v>154.86</v>
      </c>
      <c r="C56" s="9">
        <v>0.17</v>
      </c>
      <c r="D56" s="9">
        <v>0.008646390399999149</v>
      </c>
      <c r="E56" s="9">
        <v>12.63</v>
      </c>
      <c r="F56" s="10" t="s">
        <v>80</v>
      </c>
      <c r="G56" s="8" t="s">
        <v>19</v>
      </c>
      <c r="H56" s="9">
        <v>0.013377695226878683</v>
      </c>
      <c r="I56" s="9">
        <v>154.865</v>
      </c>
      <c r="J56" s="9">
        <v>0.0361</v>
      </c>
      <c r="K56" s="9">
        <v>154.715</v>
      </c>
      <c r="L56" s="9">
        <v>-0.0032</v>
      </c>
      <c r="M56" s="8" t="s">
        <v>42</v>
      </c>
    </row>
    <row r="57">
      <c r="A57" s="9">
        <v>154.6</v>
      </c>
      <c r="B57" s="9">
        <v>154.46</v>
      </c>
      <c r="C57" s="9">
        <v>0.17</v>
      </c>
      <c r="D57" s="9">
        <v>0.008664995200000192</v>
      </c>
      <c r="E57" s="9">
        <v>55.62</v>
      </c>
      <c r="F57" s="10" t="s">
        <v>81</v>
      </c>
      <c r="G57" s="8" t="s">
        <v>19</v>
      </c>
      <c r="H57" s="9">
        <v>0.013396082579200297</v>
      </c>
      <c r="I57" s="9">
        <v>154.755</v>
      </c>
      <c r="J57" s="9">
        <v>0.1579</v>
      </c>
      <c r="K57" s="9">
        <v>154.455</v>
      </c>
      <c r="L57" s="9">
        <v>0.1003</v>
      </c>
      <c r="M57" s="8" t="s">
        <v>45</v>
      </c>
    </row>
    <row r="58">
      <c r="A58" s="9">
        <v>155.43</v>
      </c>
      <c r="B58" s="9">
        <v>155.69</v>
      </c>
      <c r="C58" s="9">
        <v>0.17</v>
      </c>
      <c r="D58" s="9">
        <v>0.028973929599999337</v>
      </c>
      <c r="E58" s="9">
        <v>24.21</v>
      </c>
      <c r="F58" s="10" t="s">
        <v>82</v>
      </c>
      <c r="G58" s="8" t="s">
        <v>19</v>
      </c>
      <c r="H58" s="9">
        <v>0.04503417877727897</v>
      </c>
      <c r="I58" s="9">
        <v>155.695</v>
      </c>
      <c r="J58" s="9">
        <v>0.1128</v>
      </c>
      <c r="K58" s="9">
        <v>155.4</v>
      </c>
      <c r="L58" s="9">
        <v>-0.0193</v>
      </c>
      <c r="M58" s="8" t="s">
        <v>42</v>
      </c>
    </row>
    <row r="59">
      <c r="A59" s="9">
        <v>156.32</v>
      </c>
      <c r="B59" s="9">
        <v>156.1</v>
      </c>
      <c r="C59" s="9">
        <v>0.17</v>
      </c>
      <c r="D59" s="9">
        <v>0.022098531200001048</v>
      </c>
      <c r="E59" s="9">
        <v>223.08</v>
      </c>
      <c r="F59" s="10" t="s">
        <v>83</v>
      </c>
      <c r="G59" s="8" t="s">
        <v>19</v>
      </c>
      <c r="H59" s="9">
        <v>0.03454442397184164</v>
      </c>
      <c r="I59" s="9">
        <v>156.77</v>
      </c>
      <c r="J59" s="9">
        <v>0.3457</v>
      </c>
      <c r="K59" s="9">
        <v>156.105</v>
      </c>
      <c r="L59" s="9">
        <v>0.2879</v>
      </c>
      <c r="M59" s="8" t="s">
        <v>45</v>
      </c>
    </row>
    <row r="60">
      <c r="A60" s="9">
        <v>155.57</v>
      </c>
      <c r="B60" s="9">
        <v>155.74</v>
      </c>
      <c r="C60" s="9">
        <v>0.17</v>
      </c>
      <c r="D60" s="9">
        <v>0.01366242400000317</v>
      </c>
      <c r="E60" s="9">
        <v>28.6</v>
      </c>
      <c r="F60" s="10" t="s">
        <v>84</v>
      </c>
      <c r="G60" s="8" t="s">
        <v>19</v>
      </c>
      <c r="H60" s="9">
        <v>0.02125463301680493</v>
      </c>
      <c r="I60" s="9">
        <v>155.745</v>
      </c>
      <c r="J60" s="9">
        <v>0.0549</v>
      </c>
      <c r="K60" s="9">
        <v>155.565</v>
      </c>
      <c r="L60" s="9">
        <v>-0.0032</v>
      </c>
      <c r="M60" s="8" t="s">
        <v>42</v>
      </c>
    </row>
    <row r="61">
      <c r="A61" s="9">
        <v>157.67</v>
      </c>
      <c r="B61" s="9">
        <v>157.46</v>
      </c>
      <c r="C61" s="9">
        <v>0.17</v>
      </c>
      <c r="D61" s="9">
        <v>0.020266094399996604</v>
      </c>
      <c r="E61" s="9">
        <v>376.0</v>
      </c>
      <c r="F61" s="10" t="s">
        <v>85</v>
      </c>
      <c r="G61" s="8" t="s">
        <v>19</v>
      </c>
      <c r="H61" s="9">
        <v>0.03195355104047464</v>
      </c>
      <c r="I61" s="9">
        <v>157.935</v>
      </c>
      <c r="J61" s="9">
        <v>0.2258</v>
      </c>
      <c r="K61" s="9">
        <v>157.505</v>
      </c>
      <c r="L61" s="9">
        <v>0.1681</v>
      </c>
      <c r="M61" s="8" t="s">
        <v>45</v>
      </c>
    </row>
    <row r="62">
      <c r="A62" s="9">
        <v>158.39</v>
      </c>
      <c r="B62" s="9">
        <v>158.48</v>
      </c>
      <c r="C62" s="9">
        <v>0.17</v>
      </c>
      <c r="D62" s="9">
        <v>-2.1175199999845518E-4</v>
      </c>
      <c r="E62" s="9">
        <v>60.05</v>
      </c>
      <c r="F62" s="10" t="s">
        <v>86</v>
      </c>
      <c r="G62" s="8" t="s">
        <v>19</v>
      </c>
      <c r="H62" s="9">
        <v>-3.353939927975531E-4</v>
      </c>
      <c r="I62" s="9">
        <v>158.515</v>
      </c>
      <c r="J62" s="9">
        <v>0.0213</v>
      </c>
      <c r="K62" s="9">
        <v>158.315</v>
      </c>
      <c r="L62" s="9">
        <v>-0.0474</v>
      </c>
      <c r="M62" s="8" t="s">
        <v>45</v>
      </c>
    </row>
    <row r="63">
      <c r="A63" s="9">
        <v>157.75</v>
      </c>
      <c r="B63" s="9">
        <v>157.61</v>
      </c>
      <c r="C63" s="9">
        <v>0.17</v>
      </c>
      <c r="D63" s="9">
        <v>0.008356547200001785</v>
      </c>
      <c r="E63" s="9">
        <v>298.36</v>
      </c>
      <c r="F63" s="10" t="s">
        <v>87</v>
      </c>
      <c r="G63" s="8" t="s">
        <v>19</v>
      </c>
      <c r="H63" s="9">
        <v>0.013182453208002815</v>
      </c>
      <c r="I63" s="9">
        <v>157.845</v>
      </c>
      <c r="J63" s="9">
        <v>0.1179</v>
      </c>
      <c r="K63" s="9">
        <v>157.625</v>
      </c>
      <c r="L63" s="9">
        <v>0.0602</v>
      </c>
      <c r="M63" s="8" t="s">
        <v>42</v>
      </c>
    </row>
    <row r="64">
      <c r="A64" s="9">
        <v>158.35</v>
      </c>
      <c r="B64" s="9">
        <v>158.48</v>
      </c>
      <c r="C64" s="9">
        <v>0.17</v>
      </c>
      <c r="D64" s="9">
        <v>0.006591185600001381</v>
      </c>
      <c r="E64" s="9">
        <v>576.37</v>
      </c>
      <c r="F64" s="10" t="s">
        <v>88</v>
      </c>
      <c r="G64" s="8" t="s">
        <v>19</v>
      </c>
      <c r="H64" s="9">
        <v>0.010437142397602187</v>
      </c>
      <c r="I64" s="9">
        <v>158.475</v>
      </c>
      <c r="J64" s="9">
        <v>0.0213</v>
      </c>
      <c r="K64" s="9">
        <v>158.045</v>
      </c>
      <c r="L64" s="9">
        <v>-0.1926</v>
      </c>
      <c r="M64" s="8" t="s">
        <v>42</v>
      </c>
    </row>
    <row r="65">
      <c r="A65" s="9">
        <v>158.87</v>
      </c>
      <c r="B65" s="9">
        <v>158.72</v>
      </c>
      <c r="C65" s="9">
        <v>0.17</v>
      </c>
      <c r="D65" s="9">
        <v>0.009947121600003328</v>
      </c>
      <c r="E65" s="9">
        <v>122.76</v>
      </c>
      <c r="F65" s="10" t="s">
        <v>89</v>
      </c>
      <c r="G65" s="8" t="s">
        <v>19</v>
      </c>
      <c r="H65" s="9">
        <v>0.015802992085925286</v>
      </c>
      <c r="I65" s="9">
        <v>158.965</v>
      </c>
      <c r="J65" s="9">
        <v>0.1175</v>
      </c>
      <c r="K65" s="9">
        <v>158.715</v>
      </c>
      <c r="L65" s="9">
        <v>0.0598</v>
      </c>
      <c r="M65" s="8" t="s">
        <v>45</v>
      </c>
    </row>
    <row r="66">
      <c r="A66" s="9">
        <v>158.24</v>
      </c>
      <c r="B66" s="9">
        <v>158.1</v>
      </c>
      <c r="C66" s="9">
        <v>0.17</v>
      </c>
      <c r="D66" s="9">
        <v>0.00830856640000377</v>
      </c>
      <c r="E66" s="9">
        <v>34.46</v>
      </c>
      <c r="F66" s="10" t="s">
        <v>90</v>
      </c>
      <c r="G66" s="8" t="s">
        <v>19</v>
      </c>
      <c r="H66" s="9">
        <v>0.013147475471365966</v>
      </c>
      <c r="I66" s="9">
        <v>158.245</v>
      </c>
      <c r="J66" s="9">
        <v>0.0608</v>
      </c>
      <c r="K66" s="9">
        <v>158.075</v>
      </c>
      <c r="L66" s="9">
        <v>0.0032</v>
      </c>
      <c r="M66" s="8" t="s">
        <v>45</v>
      </c>
    </row>
    <row r="67">
      <c r="A67" s="9">
        <v>158.18</v>
      </c>
      <c r="B67" s="9">
        <v>157.9</v>
      </c>
      <c r="C67" s="9">
        <v>0.17</v>
      </c>
      <c r="D67" s="9">
        <v>0.03211786880000034</v>
      </c>
      <c r="E67" s="9">
        <v>12.67</v>
      </c>
      <c r="F67" s="10" t="s">
        <v>91</v>
      </c>
      <c r="G67" s="8" t="s">
        <v>19</v>
      </c>
      <c r="H67" s="9">
        <v>0.050804044867840535</v>
      </c>
      <c r="I67" s="9">
        <v>158.185</v>
      </c>
      <c r="J67" s="9">
        <v>0.0608</v>
      </c>
      <c r="K67" s="9">
        <v>157.915</v>
      </c>
      <c r="L67" s="9">
        <v>0.0032</v>
      </c>
      <c r="M67" s="8" t="s">
        <v>45</v>
      </c>
    </row>
    <row r="68">
      <c r="A68" s="9">
        <v>158.94</v>
      </c>
      <c r="B68" s="9">
        <v>159.12</v>
      </c>
      <c r="C68" s="9">
        <v>0.17</v>
      </c>
      <c r="D68" s="9">
        <v>0.0150321888000029</v>
      </c>
      <c r="E68" s="9">
        <v>17.56</v>
      </c>
      <c r="F68" s="10" t="s">
        <v>92</v>
      </c>
      <c r="G68" s="8" t="s">
        <v>19</v>
      </c>
      <c r="H68" s="9">
        <v>0.023892160878724606</v>
      </c>
      <c r="I68" s="9">
        <v>159.125</v>
      </c>
      <c r="J68" s="9">
        <v>0.0588</v>
      </c>
      <c r="K68" s="9">
        <v>158.935</v>
      </c>
      <c r="L68" s="9">
        <v>-0.0031</v>
      </c>
      <c r="M68" s="8" t="s">
        <v>42</v>
      </c>
    </row>
    <row r="69">
      <c r="A69" s="9">
        <v>159.26</v>
      </c>
      <c r="B69" s="9">
        <v>159.1</v>
      </c>
      <c r="C69" s="9">
        <v>0.17</v>
      </c>
      <c r="D69" s="9">
        <v>0.011609177600004017</v>
      </c>
      <c r="E69" s="9">
        <v>7.56</v>
      </c>
      <c r="F69" s="10" t="s">
        <v>93</v>
      </c>
      <c r="G69" s="8" t="s">
        <v>19</v>
      </c>
      <c r="H69" s="9">
        <v>0.0184887762457664</v>
      </c>
      <c r="I69" s="9">
        <v>159.265</v>
      </c>
      <c r="J69" s="9">
        <v>0.0608</v>
      </c>
      <c r="K69" s="9">
        <v>159.095</v>
      </c>
      <c r="L69" s="9">
        <v>0.0031</v>
      </c>
      <c r="M69" s="8" t="s">
        <v>45</v>
      </c>
    </row>
    <row r="70">
      <c r="A70" s="9">
        <v>159.61</v>
      </c>
      <c r="B70" s="9">
        <v>159.74</v>
      </c>
      <c r="C70" s="9">
        <v>0.17</v>
      </c>
      <c r="D70" s="9">
        <v>0.006467806399996334</v>
      </c>
      <c r="E70" s="9">
        <v>139.6</v>
      </c>
      <c r="F70" s="10" t="s">
        <v>94</v>
      </c>
      <c r="G70" s="8" t="s">
        <v>19</v>
      </c>
      <c r="H70" s="9">
        <v>0.01032326579503415</v>
      </c>
      <c r="I70" s="9">
        <v>159.755</v>
      </c>
      <c r="J70" s="9">
        <v>0.0332</v>
      </c>
      <c r="K70" s="9">
        <v>159.425</v>
      </c>
      <c r="L70" s="9">
        <v>-0.1159</v>
      </c>
      <c r="M70" s="8" t="s">
        <v>42</v>
      </c>
    </row>
    <row r="71">
      <c r="A71" s="9">
        <v>161.06</v>
      </c>
      <c r="B71" s="9">
        <v>161.23</v>
      </c>
      <c r="C71" s="9">
        <v>0.17</v>
      </c>
      <c r="D71" s="9">
        <v>-0.04467515679999323</v>
      </c>
      <c r="E71" s="9">
        <v>18.29</v>
      </c>
      <c r="F71" s="10" t="s">
        <v>95</v>
      </c>
      <c r="G71" s="8" t="s">
        <v>96</v>
      </c>
      <c r="H71" s="9">
        <v>-0.0719538075420691</v>
      </c>
      <c r="I71" s="9">
        <v>161.315</v>
      </c>
      <c r="J71" s="9">
        <v>0.2161</v>
      </c>
      <c r="K71" s="9">
        <v>161.06</v>
      </c>
      <c r="L71" s="9">
        <v>0.1583</v>
      </c>
      <c r="M71" s="8" t="s">
        <v>45</v>
      </c>
    </row>
    <row r="72">
      <c r="A72" s="9">
        <v>160.96</v>
      </c>
      <c r="B72" s="9">
        <v>161.27</v>
      </c>
      <c r="C72" s="9">
        <v>0.16</v>
      </c>
      <c r="D72" s="9">
        <v>-0.06444121599999875</v>
      </c>
      <c r="E72" s="9">
        <v>118.75</v>
      </c>
      <c r="F72" s="10" t="s">
        <v>97</v>
      </c>
      <c r="G72" s="8" t="s">
        <v>96</v>
      </c>
      <c r="H72" s="9">
        <v>-0.10372458127359799</v>
      </c>
      <c r="I72" s="9">
        <v>161.255</v>
      </c>
      <c r="J72" s="9">
        <v>0.241</v>
      </c>
      <c r="K72" s="9">
        <v>160.925</v>
      </c>
      <c r="L72" s="9">
        <v>0.1833</v>
      </c>
      <c r="M72" s="8" t="s">
        <v>45</v>
      </c>
    </row>
    <row r="73">
      <c r="A73" s="9">
        <v>161.78</v>
      </c>
      <c r="B73" s="9">
        <v>161.95</v>
      </c>
      <c r="C73" s="9">
        <v>0.16</v>
      </c>
      <c r="D73" s="9">
        <v>0.012286438399996769</v>
      </c>
      <c r="E73" s="9">
        <v>107.45</v>
      </c>
      <c r="F73" s="10" t="s">
        <v>98</v>
      </c>
      <c r="G73" s="8" t="s">
        <v>19</v>
      </c>
      <c r="H73" s="9">
        <v>0.01987700004351477</v>
      </c>
      <c r="I73" s="9">
        <v>161.965</v>
      </c>
      <c r="J73" s="9">
        <v>0.0567</v>
      </c>
      <c r="K73" s="9">
        <v>161.705</v>
      </c>
      <c r="L73" s="9">
        <v>-0.0464</v>
      </c>
      <c r="M73" s="8" t="s">
        <v>42</v>
      </c>
    </row>
    <row r="74">
      <c r="A74" s="9">
        <v>161.6</v>
      </c>
      <c r="B74" s="9">
        <v>161.9037</v>
      </c>
      <c r="C74" s="9">
        <v>0.16</v>
      </c>
      <c r="D74" s="9">
        <v>-0.06349205324799811</v>
      </c>
      <c r="E74" s="9">
        <v>70.89</v>
      </c>
      <c r="F74" s="10" t="s">
        <v>99</v>
      </c>
      <c r="G74" s="8" t="s">
        <v>96</v>
      </c>
      <c r="H74" s="9">
        <v>-0.10260315804876495</v>
      </c>
      <c r="I74" s="9">
        <v>161.885</v>
      </c>
      <c r="J74" s="9">
        <v>0.2341</v>
      </c>
      <c r="K74" s="9">
        <v>161.6</v>
      </c>
      <c r="L74" s="9">
        <v>0.1764</v>
      </c>
      <c r="M74" s="8" t="s">
        <v>45</v>
      </c>
    </row>
    <row r="75">
      <c r="A75" s="9">
        <v>162.88</v>
      </c>
      <c r="B75" s="9">
        <v>163.15</v>
      </c>
      <c r="C75" s="9">
        <v>0.16</v>
      </c>
      <c r="D75" s="9">
        <v>-0.05821724159999775</v>
      </c>
      <c r="E75" s="9">
        <v>250.13</v>
      </c>
      <c r="F75" s="10" t="s">
        <v>100</v>
      </c>
      <c r="G75" s="8" t="s">
        <v>96</v>
      </c>
      <c r="H75" s="9">
        <v>-0.09482424311807633</v>
      </c>
      <c r="I75" s="9">
        <v>163.155</v>
      </c>
      <c r="J75" s="9">
        <v>0.2266</v>
      </c>
      <c r="K75" s="9">
        <v>162.825</v>
      </c>
      <c r="L75" s="9">
        <v>0.1688</v>
      </c>
      <c r="M75" s="8" t="s">
        <v>45</v>
      </c>
    </row>
    <row r="76">
      <c r="A76" s="9">
        <v>162.88</v>
      </c>
      <c r="B76" s="9">
        <v>162.65</v>
      </c>
      <c r="C76" s="9">
        <v>0.16</v>
      </c>
      <c r="D76" s="9">
        <v>0.021794278400001588</v>
      </c>
      <c r="E76" s="9">
        <v>44.21</v>
      </c>
      <c r="F76" s="10" t="s">
        <v>101</v>
      </c>
      <c r="G76" s="8" t="s">
        <v>19</v>
      </c>
      <c r="H76" s="9">
        <v>0.03549852065792258</v>
      </c>
      <c r="I76" s="9">
        <v>162.885</v>
      </c>
      <c r="J76" s="9">
        <v>0.0607</v>
      </c>
      <c r="K76" s="9">
        <v>162.625</v>
      </c>
      <c r="L76" s="9">
        <v>0.0031</v>
      </c>
      <c r="M76" s="8" t="s">
        <v>45</v>
      </c>
    </row>
    <row r="77">
      <c r="A77" s="9">
        <v>162.9</v>
      </c>
      <c r="B77" s="9">
        <v>163.05</v>
      </c>
      <c r="C77" s="9">
        <v>0.16</v>
      </c>
      <c r="D77" s="9">
        <v>0.00898368000000005</v>
      </c>
      <c r="E77" s="9">
        <v>44.39</v>
      </c>
      <c r="F77" s="10" t="s">
        <v>102</v>
      </c>
      <c r="G77" s="8" t="s">
        <v>19</v>
      </c>
      <c r="H77" s="9">
        <v>0.01463441472000008</v>
      </c>
      <c r="I77" s="9">
        <v>163.055</v>
      </c>
      <c r="J77" s="9">
        <v>0.0375</v>
      </c>
      <c r="K77" s="9">
        <v>162.855</v>
      </c>
      <c r="L77" s="9">
        <v>-0.0276</v>
      </c>
      <c r="M77" s="8" t="s">
        <v>42</v>
      </c>
    </row>
    <row r="78">
      <c r="A78" s="9">
        <v>162.47</v>
      </c>
      <c r="B78" s="9">
        <v>162.72</v>
      </c>
      <c r="C78" s="9">
        <v>0.16</v>
      </c>
      <c r="D78" s="9">
        <v>-0.054978995199995495</v>
      </c>
      <c r="E78" s="9">
        <v>186.02</v>
      </c>
      <c r="F78" s="10" t="s">
        <v>103</v>
      </c>
      <c r="G78" s="8" t="s">
        <v>96</v>
      </c>
      <c r="H78" s="9">
        <v>-0.08932437350143269</v>
      </c>
      <c r="I78" s="9">
        <v>162.715</v>
      </c>
      <c r="J78" s="9">
        <v>0.2085</v>
      </c>
      <c r="K78" s="9">
        <v>162.435</v>
      </c>
      <c r="L78" s="9">
        <v>0.1508</v>
      </c>
      <c r="M78" s="8" t="s">
        <v>45</v>
      </c>
    </row>
    <row r="79">
      <c r="A79" s="9">
        <v>162.4</v>
      </c>
      <c r="B79" s="9">
        <v>162.27</v>
      </c>
      <c r="C79" s="9">
        <v>0.16</v>
      </c>
      <c r="D79" s="9">
        <v>0.005836211200001884</v>
      </c>
      <c r="E79" s="9">
        <v>22.91</v>
      </c>
      <c r="F79" s="10" t="s">
        <v>104</v>
      </c>
      <c r="G79" s="8" t="s">
        <v>19</v>
      </c>
      <c r="H79" s="9">
        <v>0.009478006988803061</v>
      </c>
      <c r="I79" s="9">
        <v>162.405</v>
      </c>
      <c r="J79" s="9">
        <v>0.0607</v>
      </c>
      <c r="K79" s="9">
        <v>162.265</v>
      </c>
      <c r="L79" s="9">
        <v>0.0031</v>
      </c>
      <c r="M79" s="8" t="s">
        <v>45</v>
      </c>
    </row>
    <row r="80">
      <c r="A80" s="9">
        <v>163.01</v>
      </c>
      <c r="B80" s="9">
        <v>163.12</v>
      </c>
      <c r="C80" s="9">
        <v>0.16</v>
      </c>
      <c r="D80" s="9">
        <v>0.0025744640000020524</v>
      </c>
      <c r="E80" s="9">
        <v>361.95</v>
      </c>
      <c r="F80" s="10" t="s">
        <v>105</v>
      </c>
      <c r="G80" s="8" t="s">
        <v>19</v>
      </c>
      <c r="H80" s="9">
        <v>0.004196633766403345</v>
      </c>
      <c r="I80" s="9">
        <v>163.165</v>
      </c>
      <c r="J80" s="9">
        <v>0.0375</v>
      </c>
      <c r="K80" s="9">
        <v>162.795</v>
      </c>
      <c r="L80" s="9">
        <v>-0.1319</v>
      </c>
      <c r="M80" s="8" t="s">
        <v>42</v>
      </c>
    </row>
    <row r="81">
      <c r="A81" s="9">
        <v>163.05</v>
      </c>
      <c r="B81" s="9">
        <v>162.89</v>
      </c>
      <c r="C81" s="9">
        <v>0.16</v>
      </c>
      <c r="D81" s="9">
        <v>0.010576998400004811</v>
      </c>
      <c r="E81" s="9">
        <v>23.79</v>
      </c>
      <c r="F81" s="10" t="s">
        <v>106</v>
      </c>
      <c r="G81" s="8" t="s">
        <v>19</v>
      </c>
      <c r="H81" s="9">
        <v>0.017245795891207845</v>
      </c>
      <c r="I81" s="9">
        <v>163.055</v>
      </c>
      <c r="J81" s="9">
        <v>0.0607</v>
      </c>
      <c r="K81" s="9">
        <v>162.885</v>
      </c>
      <c r="L81" s="9">
        <v>0.0031</v>
      </c>
      <c r="M81" s="8" t="s">
        <v>45</v>
      </c>
    </row>
    <row r="82">
      <c r="A82" s="9">
        <v>161.39</v>
      </c>
      <c r="B82" s="9">
        <v>161.62</v>
      </c>
      <c r="C82" s="9">
        <v>0.16</v>
      </c>
      <c r="D82" s="9">
        <v>0.02192099840000239</v>
      </c>
      <c r="E82" s="9">
        <v>18.0</v>
      </c>
      <c r="F82" s="10" t="s">
        <v>107</v>
      </c>
      <c r="G82" s="8" t="s">
        <v>19</v>
      </c>
      <c r="H82" s="9">
        <v>0.03537829931776385</v>
      </c>
      <c r="I82" s="9">
        <v>161.615</v>
      </c>
      <c r="J82" s="9">
        <v>0.0818</v>
      </c>
      <c r="K82" s="9">
        <v>161.385</v>
      </c>
      <c r="L82" s="9">
        <v>-0.0031</v>
      </c>
      <c r="M82" s="8" t="s">
        <v>42</v>
      </c>
    </row>
    <row r="83">
      <c r="A83" s="9">
        <v>161.5</v>
      </c>
      <c r="B83" s="9">
        <v>161.65</v>
      </c>
      <c r="C83" s="9">
        <v>0.16</v>
      </c>
      <c r="D83" s="9">
        <v>0.009112703999999638</v>
      </c>
      <c r="E83" s="9">
        <v>54.68</v>
      </c>
      <c r="F83" s="10" t="s">
        <v>108</v>
      </c>
      <c r="G83" s="8" t="s">
        <v>19</v>
      </c>
      <c r="H83" s="9">
        <v>0.014717016959999416</v>
      </c>
      <c r="I83" s="9">
        <v>161.66</v>
      </c>
      <c r="J83" s="9">
        <v>0.0414</v>
      </c>
      <c r="K83" s="9">
        <v>161.475</v>
      </c>
      <c r="L83" s="9">
        <v>-0.0155</v>
      </c>
      <c r="M83" s="8" t="s">
        <v>42</v>
      </c>
    </row>
    <row r="84">
      <c r="A84" s="9">
        <v>161.74</v>
      </c>
      <c r="B84" s="9">
        <v>161.93</v>
      </c>
      <c r="C84" s="9">
        <v>0.16</v>
      </c>
      <c r="D84" s="9">
        <v>0.015489664000000403</v>
      </c>
      <c r="E84" s="9">
        <v>54.61</v>
      </c>
      <c r="F84" s="10" t="s">
        <v>109</v>
      </c>
      <c r="G84" s="8" t="s">
        <v>19</v>
      </c>
      <c r="H84" s="9">
        <v>0.025052982553600653</v>
      </c>
      <c r="I84" s="9">
        <v>161.905</v>
      </c>
      <c r="J84" s="9">
        <v>0.0444</v>
      </c>
      <c r="K84" s="9">
        <v>161.735</v>
      </c>
      <c r="L84" s="9">
        <v>-0.0031</v>
      </c>
      <c r="M84" s="8" t="s">
        <v>42</v>
      </c>
    </row>
    <row r="85">
      <c r="A85" s="9">
        <v>161.39</v>
      </c>
      <c r="B85" s="9">
        <v>161.26</v>
      </c>
      <c r="C85" s="9">
        <v>0.16</v>
      </c>
      <c r="D85" s="9">
        <v>0.005929292800001207</v>
      </c>
      <c r="E85" s="9">
        <v>75.58</v>
      </c>
      <c r="F85" s="10" t="s">
        <v>110</v>
      </c>
      <c r="G85" s="8" t="s">
        <v>19</v>
      </c>
      <c r="H85" s="9">
        <v>0.009569285649921946</v>
      </c>
      <c r="I85" s="9">
        <v>161.395</v>
      </c>
      <c r="J85" s="9">
        <v>0.0607</v>
      </c>
      <c r="K85" s="9">
        <v>161.255</v>
      </c>
      <c r="L85" s="9">
        <v>0.0031</v>
      </c>
      <c r="M85" s="8" t="s">
        <v>45</v>
      </c>
    </row>
    <row r="86">
      <c r="A86" s="9">
        <v>162.01</v>
      </c>
      <c r="B86" s="9">
        <v>162.13</v>
      </c>
      <c r="C86" s="9">
        <v>0.16</v>
      </c>
      <c r="D86" s="9">
        <v>0.0042663936000018055</v>
      </c>
      <c r="E86" s="9">
        <v>17.89</v>
      </c>
      <c r="F86" s="10" t="s">
        <v>111</v>
      </c>
      <c r="G86" s="8" t="s">
        <v>19</v>
      </c>
      <c r="H86" s="9">
        <v>0.006911984271362925</v>
      </c>
      <c r="I86" s="9">
        <v>162.165</v>
      </c>
      <c r="J86" s="9">
        <v>0.0381</v>
      </c>
      <c r="K86" s="9">
        <v>162.005</v>
      </c>
      <c r="L86" s="9">
        <v>-0.0031</v>
      </c>
      <c r="M86" s="8" t="s">
        <v>42</v>
      </c>
    </row>
    <row r="87">
      <c r="A87" s="9">
        <v>162.22</v>
      </c>
      <c r="B87" s="9">
        <v>162.08</v>
      </c>
      <c r="C87" s="9">
        <v>0.16</v>
      </c>
      <c r="D87" s="9">
        <v>0.007453030400000671</v>
      </c>
      <c r="E87" s="9">
        <v>129.51</v>
      </c>
      <c r="F87" s="10" t="s">
        <v>112</v>
      </c>
      <c r="G87" s="8" t="s">
        <v>19</v>
      </c>
      <c r="H87" s="9">
        <v>0.012090305914881088</v>
      </c>
      <c r="I87" s="9">
        <v>162.275</v>
      </c>
      <c r="J87" s="9">
        <v>0.0916</v>
      </c>
      <c r="K87" s="9">
        <v>162.055</v>
      </c>
      <c r="L87" s="9">
        <v>0.0339</v>
      </c>
      <c r="M87" s="8" t="s">
        <v>45</v>
      </c>
    </row>
    <row r="88">
      <c r="A88" s="9">
        <v>162.71</v>
      </c>
      <c r="B88" s="9">
        <v>162.87</v>
      </c>
      <c r="C88" s="9">
        <v>0.16</v>
      </c>
      <c r="D88" s="9">
        <v>0.010600959999997883</v>
      </c>
      <c r="E88" s="9">
        <v>60.34</v>
      </c>
      <c r="F88" s="10" t="s">
        <v>113</v>
      </c>
      <c r="G88" s="8" t="s">
        <v>19</v>
      </c>
      <c r="H88" s="9">
        <v>0.017248822015996555</v>
      </c>
      <c r="I88" s="9">
        <v>162.845</v>
      </c>
      <c r="J88" s="9">
        <v>0.0254</v>
      </c>
      <c r="K88" s="9">
        <v>162.705</v>
      </c>
      <c r="L88" s="9">
        <v>-0.0031</v>
      </c>
      <c r="M88" s="8" t="s">
        <v>42</v>
      </c>
    </row>
    <row r="89">
      <c r="A89" s="9">
        <v>162.35</v>
      </c>
      <c r="B89" s="9">
        <v>162.21</v>
      </c>
      <c r="C89" s="9">
        <v>0.16</v>
      </c>
      <c r="D89" s="9">
        <v>0.007441049600000582</v>
      </c>
      <c r="E89" s="9">
        <v>92.75</v>
      </c>
      <c r="F89" s="10" t="s">
        <v>114</v>
      </c>
      <c r="G89" s="8" t="s">
        <v>19</v>
      </c>
      <c r="H89" s="9">
        <v>0.012080544025600945</v>
      </c>
      <c r="I89" s="9">
        <v>162.355</v>
      </c>
      <c r="J89" s="9">
        <v>0.0607</v>
      </c>
      <c r="K89" s="9">
        <v>162.205</v>
      </c>
      <c r="L89" s="9">
        <v>0.0031</v>
      </c>
      <c r="M89" s="8" t="s">
        <v>45</v>
      </c>
    </row>
    <row r="90">
      <c r="A90" s="9">
        <v>161.54</v>
      </c>
      <c r="B90" s="9">
        <v>161.73</v>
      </c>
      <c r="C90" s="9">
        <v>0.16</v>
      </c>
      <c r="D90" s="9">
        <v>0.015508096000001359</v>
      </c>
      <c r="E90" s="9">
        <v>150.22</v>
      </c>
      <c r="F90" s="10" t="s">
        <v>115</v>
      </c>
      <c r="G90" s="8" t="s">
        <v>19</v>
      </c>
      <c r="H90" s="9">
        <v>0.025051778278402194</v>
      </c>
      <c r="I90" s="9">
        <v>161.695</v>
      </c>
      <c r="J90" s="9">
        <v>0.0383</v>
      </c>
      <c r="K90" s="9">
        <v>161.455</v>
      </c>
      <c r="L90" s="9">
        <v>-0.0526</v>
      </c>
      <c r="M90" s="8" t="s">
        <v>42</v>
      </c>
    </row>
    <row r="91">
      <c r="A91" s="9">
        <v>161.04</v>
      </c>
      <c r="B91" s="9">
        <v>161.27</v>
      </c>
      <c r="C91" s="9">
        <v>0.16</v>
      </c>
      <c r="D91" s="9">
        <v>-0.05164674559999938</v>
      </c>
      <c r="E91" s="9">
        <v>102.02</v>
      </c>
      <c r="F91" s="10" t="s">
        <v>116</v>
      </c>
      <c r="G91" s="8" t="s">
        <v>96</v>
      </c>
      <c r="H91" s="9">
        <v>-0.08317191911423899</v>
      </c>
      <c r="I91" s="9">
        <v>161.305</v>
      </c>
      <c r="J91" s="9">
        <v>0.2223</v>
      </c>
      <c r="K91" s="9">
        <v>160.94</v>
      </c>
      <c r="L91" s="9">
        <v>0.1646</v>
      </c>
      <c r="M91" s="8" t="s">
        <v>45</v>
      </c>
    </row>
    <row r="92">
      <c r="A92" s="9">
        <v>161.09</v>
      </c>
      <c r="B92" s="9">
        <v>161.24</v>
      </c>
      <c r="C92" s="9">
        <v>0.16</v>
      </c>
      <c r="D92" s="9">
        <v>0.009150489599999645</v>
      </c>
      <c r="E92" s="9">
        <v>128.3</v>
      </c>
      <c r="F92" s="10" t="s">
        <v>117</v>
      </c>
      <c r="G92" s="8" t="s">
        <v>19</v>
      </c>
      <c r="H92" s="9">
        <v>0.014740523696639429</v>
      </c>
      <c r="I92" s="9">
        <v>161.235</v>
      </c>
      <c r="J92" s="9">
        <v>0.0324</v>
      </c>
      <c r="K92" s="9">
        <v>160.965</v>
      </c>
      <c r="L92" s="9">
        <v>-0.0776</v>
      </c>
      <c r="M92" s="8" t="s">
        <v>42</v>
      </c>
    </row>
    <row r="93">
      <c r="A93" s="9">
        <v>160.7562</v>
      </c>
      <c r="B93" s="9">
        <v>160.63</v>
      </c>
      <c r="C93" s="9">
        <v>0.16</v>
      </c>
      <c r="D93" s="9">
        <v>0.005379616256004027</v>
      </c>
      <c r="E93" s="9">
        <v>28.54</v>
      </c>
      <c r="F93" s="10" t="s">
        <v>118</v>
      </c>
      <c r="G93" s="8" t="s">
        <v>19</v>
      </c>
      <c r="H93" s="9">
        <v>0.008648066667734346</v>
      </c>
      <c r="I93" s="9">
        <v>160.765</v>
      </c>
      <c r="J93" s="9">
        <v>0.0631</v>
      </c>
      <c r="K93" s="9">
        <v>160.615</v>
      </c>
      <c r="L93" s="9">
        <v>0.0055</v>
      </c>
      <c r="M93" s="8" t="s">
        <v>45</v>
      </c>
    </row>
    <row r="94">
      <c r="A94" s="9">
        <v>160.76</v>
      </c>
      <c r="B94" s="9">
        <v>160.92</v>
      </c>
      <c r="C94" s="9">
        <v>0.16</v>
      </c>
      <c r="D94" s="9">
        <v>0.010780671999999214</v>
      </c>
      <c r="E94" s="9">
        <v>65.46</v>
      </c>
      <c r="F94" s="10" t="s">
        <v>119</v>
      </c>
      <c r="G94" s="8" t="s">
        <v>19</v>
      </c>
      <c r="H94" s="9">
        <v>0.017331008307198737</v>
      </c>
      <c r="I94" s="9">
        <v>160.905</v>
      </c>
      <c r="J94" s="9">
        <v>0.0326</v>
      </c>
      <c r="K94" s="9">
        <v>160.655</v>
      </c>
      <c r="L94" s="9">
        <v>-0.0653</v>
      </c>
      <c r="M94" s="8" t="s">
        <v>42</v>
      </c>
    </row>
    <row r="95">
      <c r="A95" s="9">
        <v>160.13</v>
      </c>
      <c r="B95" s="9">
        <v>159.99</v>
      </c>
      <c r="C95" s="9">
        <v>0.16</v>
      </c>
      <c r="D95" s="9">
        <v>0.007645644800000184</v>
      </c>
      <c r="E95" s="9">
        <v>70.78</v>
      </c>
      <c r="F95" s="10" t="s">
        <v>120</v>
      </c>
      <c r="G95" s="8" t="s">
        <v>19</v>
      </c>
      <c r="H95" s="9">
        <v>0.012242971018240295</v>
      </c>
      <c r="I95" s="9">
        <v>160.23</v>
      </c>
      <c r="J95" s="9">
        <v>0.1201</v>
      </c>
      <c r="K95" s="9">
        <v>159.985</v>
      </c>
      <c r="L95" s="9">
        <v>0.0624</v>
      </c>
      <c r="M95" s="8" t="s">
        <v>45</v>
      </c>
    </row>
    <row r="96">
      <c r="A96" s="9">
        <v>160.34</v>
      </c>
      <c r="B96" s="9">
        <v>160.58</v>
      </c>
      <c r="C96" s="9">
        <v>0.16</v>
      </c>
      <c r="D96" s="9">
        <v>0.023617535999999717</v>
      </c>
      <c r="E96" s="9">
        <v>207.13</v>
      </c>
      <c r="F96" s="10" t="s">
        <v>121</v>
      </c>
      <c r="G96" s="8" t="s">
        <v>19</v>
      </c>
      <c r="H96" s="9">
        <v>0.03786835722239954</v>
      </c>
      <c r="I96" s="9">
        <v>160.585</v>
      </c>
      <c r="J96" s="9">
        <v>0.0951</v>
      </c>
      <c r="K96" s="9">
        <v>160.145</v>
      </c>
      <c r="L96" s="9">
        <v>-0.1216</v>
      </c>
      <c r="M96" s="8" t="s">
        <v>42</v>
      </c>
    </row>
    <row r="97">
      <c r="A97" s="9">
        <v>160.5</v>
      </c>
      <c r="B97" s="9">
        <v>160.3</v>
      </c>
      <c r="C97" s="9">
        <v>0.16</v>
      </c>
      <c r="D97" s="9">
        <v>0.017212927999995742</v>
      </c>
      <c r="E97" s="9">
        <v>7.43</v>
      </c>
      <c r="F97" s="10" t="s">
        <v>122</v>
      </c>
      <c r="G97" s="8" t="s">
        <v>19</v>
      </c>
      <c r="H97" s="9">
        <v>0.027626749439993166</v>
      </c>
      <c r="I97" s="9">
        <v>160.505</v>
      </c>
      <c r="J97" s="9">
        <v>0.0608</v>
      </c>
      <c r="K97" s="9">
        <v>160.295</v>
      </c>
      <c r="L97" s="9">
        <v>0.0031</v>
      </c>
      <c r="M97" s="8" t="s">
        <v>45</v>
      </c>
    </row>
    <row r="98">
      <c r="A98" s="9">
        <v>160.83</v>
      </c>
      <c r="B98" s="9">
        <v>161.04</v>
      </c>
      <c r="C98" s="9">
        <v>0.16</v>
      </c>
      <c r="D98" s="9">
        <v>0.018773068800001624</v>
      </c>
      <c r="E98" s="9">
        <v>33.42</v>
      </c>
      <c r="F98" s="10" t="s">
        <v>123</v>
      </c>
      <c r="G98" s="8" t="s">
        <v>19</v>
      </c>
      <c r="H98" s="9">
        <v>0.030192726551042614</v>
      </c>
      <c r="I98" s="9">
        <v>160.985</v>
      </c>
      <c r="J98" s="9">
        <v>0.0388</v>
      </c>
      <c r="K98" s="9">
        <v>160.795</v>
      </c>
      <c r="L98" s="9">
        <v>-0.0218</v>
      </c>
      <c r="M98" s="8" t="s">
        <v>42</v>
      </c>
    </row>
    <row r="99">
      <c r="A99" s="9">
        <v>162.3</v>
      </c>
      <c r="B99" s="9">
        <v>162.61</v>
      </c>
      <c r="C99" s="9">
        <v>0.16</v>
      </c>
      <c r="D99" s="9">
        <v>0.034635289599997066</v>
      </c>
      <c r="E99" s="9">
        <v>29.0</v>
      </c>
      <c r="F99" s="10" t="s">
        <v>124</v>
      </c>
      <c r="G99" s="8" t="s">
        <v>19</v>
      </c>
      <c r="H99" s="9">
        <v>0.05621307502079524</v>
      </c>
      <c r="I99" s="9">
        <v>162.545</v>
      </c>
      <c r="J99" s="9">
        <v>0.0933</v>
      </c>
      <c r="K99" s="9">
        <v>162.245</v>
      </c>
      <c r="L99" s="9">
        <v>-0.0339</v>
      </c>
      <c r="M99" s="8" t="s">
        <v>42</v>
      </c>
    </row>
    <row r="100">
      <c r="A100" s="9">
        <v>162.0</v>
      </c>
      <c r="B100" s="9">
        <v>161.95</v>
      </c>
      <c r="C100" s="9">
        <v>0.16</v>
      </c>
      <c r="D100" s="9">
        <v>-0.006928767999994534</v>
      </c>
      <c r="E100" s="9">
        <v>350.53</v>
      </c>
      <c r="F100" s="10" t="s">
        <v>125</v>
      </c>
      <c r="G100" s="8" t="s">
        <v>19</v>
      </c>
      <c r="H100" s="9">
        <v>-0.011224604159991146</v>
      </c>
      <c r="I100" s="9">
        <v>162.155</v>
      </c>
      <c r="J100" s="9">
        <v>0.1534</v>
      </c>
      <c r="K100" s="9">
        <v>161.855</v>
      </c>
      <c r="L100" s="9">
        <v>0.0957</v>
      </c>
      <c r="M100" s="8" t="s">
        <v>45</v>
      </c>
    </row>
    <row r="101">
      <c r="A101" s="9">
        <v>159.5</v>
      </c>
      <c r="B101" s="9">
        <v>159.32</v>
      </c>
      <c r="C101" s="9">
        <v>0.16</v>
      </c>
      <c r="D101" s="9">
        <v>-0.04349537279999893</v>
      </c>
      <c r="E101" s="9">
        <v>118.71</v>
      </c>
      <c r="F101" s="10" t="s">
        <v>126</v>
      </c>
      <c r="G101" s="8" t="s">
        <v>96</v>
      </c>
      <c r="H101" s="9">
        <v>-0.06937511961599829</v>
      </c>
      <c r="I101" s="9">
        <v>159.565</v>
      </c>
      <c r="J101" s="9">
        <v>-0.0168</v>
      </c>
      <c r="K101" s="9">
        <v>159.255</v>
      </c>
      <c r="L101" s="9">
        <v>-0.1536</v>
      </c>
      <c r="M101" s="8" t="s">
        <v>42</v>
      </c>
    </row>
    <row r="102">
      <c r="A102" s="9">
        <v>159.22</v>
      </c>
      <c r="B102" s="9">
        <v>159.06</v>
      </c>
      <c r="C102" s="9">
        <v>0.16</v>
      </c>
      <c r="D102" s="9">
        <v>0.010929971200003052</v>
      </c>
      <c r="E102" s="9">
        <v>33.83</v>
      </c>
      <c r="F102" s="10" t="s">
        <v>127</v>
      </c>
      <c r="G102" s="8" t="s">
        <v>19</v>
      </c>
      <c r="H102" s="9">
        <v>0.017402700144644862</v>
      </c>
      <c r="I102" s="9">
        <v>159.365</v>
      </c>
      <c r="J102" s="9">
        <v>0.1488</v>
      </c>
      <c r="K102" s="9">
        <v>159.075</v>
      </c>
      <c r="L102" s="9">
        <v>0.0911</v>
      </c>
      <c r="M102" s="8" t="s">
        <v>45</v>
      </c>
    </row>
    <row r="103">
      <c r="A103" s="9">
        <v>159.25</v>
      </c>
      <c r="B103" s="9">
        <v>158.93</v>
      </c>
      <c r="C103" s="9">
        <v>0.16</v>
      </c>
      <c r="D103" s="9">
        <v>-0.06586910720000105</v>
      </c>
      <c r="E103" s="9">
        <v>455.43</v>
      </c>
      <c r="F103" s="10" t="s">
        <v>128</v>
      </c>
      <c r="G103" s="8" t="s">
        <v>96</v>
      </c>
      <c r="H103" s="9">
        <v>-0.10489655321600168</v>
      </c>
      <c r="I103" s="9">
        <v>159.365</v>
      </c>
      <c r="J103" s="9">
        <v>0.0146</v>
      </c>
      <c r="K103" s="9">
        <v>159.005</v>
      </c>
      <c r="L103" s="9">
        <v>-0.1538</v>
      </c>
      <c r="M103" s="8" t="s">
        <v>42</v>
      </c>
    </row>
    <row r="104">
      <c r="A104" s="9">
        <v>158.74</v>
      </c>
      <c r="B104" s="9">
        <v>158.47</v>
      </c>
      <c r="C104" s="9">
        <v>0.16</v>
      </c>
      <c r="D104" s="9">
        <v>0.028576742400002075</v>
      </c>
      <c r="E104" s="9">
        <v>34.44</v>
      </c>
      <c r="F104" s="10" t="s">
        <v>129</v>
      </c>
      <c r="G104" s="8" t="s">
        <v>19</v>
      </c>
      <c r="H104" s="9">
        <v>0.0453627208857633</v>
      </c>
      <c r="I104" s="9">
        <v>158.745</v>
      </c>
      <c r="J104" s="9">
        <v>0.0608</v>
      </c>
      <c r="K104" s="9">
        <v>158.425</v>
      </c>
      <c r="L104" s="9">
        <v>0.0031</v>
      </c>
      <c r="M104" s="8" t="s">
        <v>45</v>
      </c>
    </row>
    <row r="105">
      <c r="A105" s="9">
        <v>158.88</v>
      </c>
      <c r="B105" s="9">
        <v>159.04</v>
      </c>
      <c r="C105" s="9">
        <v>0.16</v>
      </c>
      <c r="D105" s="9">
        <v>0.010953932799999677</v>
      </c>
      <c r="E105" s="9">
        <v>23.25</v>
      </c>
      <c r="F105" s="10" t="s">
        <v>130</v>
      </c>
      <c r="G105" s="8" t="s">
        <v>19</v>
      </c>
      <c r="H105" s="9">
        <v>0.017403608432639488</v>
      </c>
      <c r="I105" s="9">
        <v>159.045</v>
      </c>
      <c r="J105" s="9">
        <v>0.0462</v>
      </c>
      <c r="K105" s="9">
        <v>158.865</v>
      </c>
      <c r="L105" s="9">
        <v>-0.0094</v>
      </c>
      <c r="M105" s="8" t="s">
        <v>42</v>
      </c>
    </row>
    <row r="106">
      <c r="A106" s="9">
        <v>158.99</v>
      </c>
      <c r="B106" s="9">
        <v>158.87</v>
      </c>
      <c r="C106" s="9">
        <v>0.16</v>
      </c>
      <c r="D106" s="9">
        <v>0.004550246400004454</v>
      </c>
      <c r="E106" s="9">
        <v>122.67</v>
      </c>
      <c r="F106" s="10" t="s">
        <v>131</v>
      </c>
      <c r="G106" s="8" t="s">
        <v>19</v>
      </c>
      <c r="H106" s="9">
        <v>0.007234436751367082</v>
      </c>
      <c r="I106" s="9">
        <v>159.105</v>
      </c>
      <c r="J106" s="9">
        <v>0.13</v>
      </c>
      <c r="K106" s="9">
        <v>158.845</v>
      </c>
      <c r="L106" s="9">
        <v>0.0723</v>
      </c>
      <c r="M106" s="8" t="s">
        <v>45</v>
      </c>
    </row>
    <row r="107">
      <c r="A107" s="9">
        <v>159.27</v>
      </c>
      <c r="B107" s="9">
        <v>159.41</v>
      </c>
      <c r="C107" s="9">
        <v>0.16</v>
      </c>
      <c r="D107" s="9">
        <v>0.007718451199995258</v>
      </c>
      <c r="E107" s="9">
        <v>235.39</v>
      </c>
      <c r="F107" s="10" t="s">
        <v>132</v>
      </c>
      <c r="G107" s="8" t="s">
        <v>19</v>
      </c>
      <c r="H107" s="9">
        <v>0.012293177226232447</v>
      </c>
      <c r="I107" s="9">
        <v>159.455</v>
      </c>
      <c r="J107" s="9">
        <v>0.0585</v>
      </c>
      <c r="K107" s="9">
        <v>159.125</v>
      </c>
      <c r="L107" s="9">
        <v>-0.091</v>
      </c>
      <c r="M107" s="8" t="s">
        <v>42</v>
      </c>
    </row>
    <row r="108">
      <c r="A108" s="9">
        <v>158.73</v>
      </c>
      <c r="B108" s="9">
        <v>159.09</v>
      </c>
      <c r="C108" s="9">
        <v>0.16</v>
      </c>
      <c r="D108" s="9">
        <v>-0.07223685119999956</v>
      </c>
      <c r="E108" s="9">
        <v>176.36</v>
      </c>
      <c r="F108" s="10" t="s">
        <v>133</v>
      </c>
      <c r="G108" s="8" t="s">
        <v>96</v>
      </c>
      <c r="H108" s="9">
        <v>-0.1146615539097593</v>
      </c>
      <c r="I108" s="9">
        <v>159.125</v>
      </c>
      <c r="J108" s="9">
        <v>0.3066</v>
      </c>
      <c r="K108" s="9">
        <v>158.73</v>
      </c>
      <c r="L108" s="9">
        <v>0.2489</v>
      </c>
      <c r="M108" s="8" t="s">
        <v>45</v>
      </c>
    </row>
    <row r="109">
      <c r="A109" s="9">
        <v>159.05</v>
      </c>
      <c r="B109" s="9">
        <v>158.9</v>
      </c>
      <c r="C109" s="9">
        <v>0.16</v>
      </c>
      <c r="D109" s="9">
        <v>0.009345408000001498</v>
      </c>
      <c r="E109" s="9">
        <v>39.61</v>
      </c>
      <c r="F109" s="10" t="s">
        <v>134</v>
      </c>
      <c r="G109" s="8" t="s">
        <v>19</v>
      </c>
      <c r="H109" s="9">
        <v>0.014863871424002383</v>
      </c>
      <c r="I109" s="9">
        <v>159.055</v>
      </c>
      <c r="J109" s="9">
        <v>0.0608</v>
      </c>
      <c r="K109" s="9">
        <v>158.925</v>
      </c>
      <c r="L109" s="9">
        <v>0.0031</v>
      </c>
      <c r="M109" s="8" t="s">
        <v>45</v>
      </c>
    </row>
    <row r="110">
      <c r="A110" s="9">
        <v>158.43</v>
      </c>
      <c r="B110" s="9">
        <v>158.54</v>
      </c>
      <c r="C110" s="9">
        <v>0.16</v>
      </c>
      <c r="D110" s="9">
        <v>0.0029965567999958864</v>
      </c>
      <c r="E110" s="9">
        <v>39.16</v>
      </c>
      <c r="F110" s="10" t="s">
        <v>135</v>
      </c>
      <c r="G110" s="8" t="s">
        <v>19</v>
      </c>
      <c r="H110" s="9">
        <v>0.004747444938233483</v>
      </c>
      <c r="I110" s="9">
        <v>158.575</v>
      </c>
      <c r="J110" s="9">
        <v>0.0339</v>
      </c>
      <c r="K110" s="9">
        <v>158.405</v>
      </c>
      <c r="L110" s="9">
        <v>-0.0158</v>
      </c>
      <c r="M110" s="8" t="s">
        <v>42</v>
      </c>
    </row>
    <row r="111">
      <c r="A111" s="9">
        <v>158.68</v>
      </c>
      <c r="B111" s="9">
        <v>159.03</v>
      </c>
      <c r="C111" s="9">
        <v>0.16</v>
      </c>
      <c r="D111" s="9">
        <v>-0.07063201279999376</v>
      </c>
      <c r="E111" s="9">
        <v>350.86</v>
      </c>
      <c r="F111" s="10" t="s">
        <v>136</v>
      </c>
      <c r="G111" s="8" t="s">
        <v>96</v>
      </c>
      <c r="H111" s="9">
        <v>-0.11207887791103009</v>
      </c>
      <c r="I111" s="9">
        <v>159.025</v>
      </c>
      <c r="J111" s="9">
        <v>0.2752</v>
      </c>
      <c r="K111" s="9">
        <v>158.575</v>
      </c>
      <c r="L111" s="9">
        <v>0.2174</v>
      </c>
      <c r="M111" s="8" t="s">
        <v>45</v>
      </c>
      <c r="N111" s="8" t="s">
        <v>137</v>
      </c>
    </row>
    <row r="112">
      <c r="A112" s="9">
        <v>158.8</v>
      </c>
      <c r="B112" s="9">
        <v>158.92</v>
      </c>
      <c r="C112" s="9">
        <v>0.16</v>
      </c>
      <c r="D112" s="9">
        <v>0.004562227199997437</v>
      </c>
      <c r="E112" s="9">
        <v>12.64</v>
      </c>
      <c r="F112" s="10" t="s">
        <v>138</v>
      </c>
      <c r="G112" s="8" t="s">
        <v>19</v>
      </c>
      <c r="H112" s="9">
        <v>0.007244816793595931</v>
      </c>
      <c r="I112" s="9">
        <v>158.925</v>
      </c>
      <c r="J112" s="9">
        <v>0.0211</v>
      </c>
      <c r="K112" s="9">
        <v>158.795</v>
      </c>
      <c r="L112" s="9">
        <v>-0.0031</v>
      </c>
      <c r="M112" s="8" t="s">
        <v>42</v>
      </c>
    </row>
    <row r="113">
      <c r="A113" s="9">
        <v>158.56</v>
      </c>
      <c r="B113" s="9">
        <v>158.4</v>
      </c>
      <c r="C113" s="9">
        <v>0.16</v>
      </c>
      <c r="D113" s="9">
        <v>0.010990796800005143</v>
      </c>
      <c r="E113" s="9">
        <v>752.32</v>
      </c>
      <c r="F113" s="10" t="s">
        <v>139</v>
      </c>
      <c r="G113" s="8" t="s">
        <v>19</v>
      </c>
      <c r="H113" s="9">
        <v>0.017427007406088154</v>
      </c>
      <c r="I113" s="9">
        <v>158.865</v>
      </c>
      <c r="J113" s="9">
        <v>0.2501</v>
      </c>
      <c r="K113" s="9">
        <v>158.405</v>
      </c>
      <c r="L113" s="9">
        <v>0.1924</v>
      </c>
      <c r="M113" s="8" t="s">
        <v>45</v>
      </c>
    </row>
    <row r="114">
      <c r="A114" s="9">
        <v>158.91</v>
      </c>
      <c r="B114" s="9">
        <v>159.03</v>
      </c>
      <c r="C114" s="9">
        <v>0.16</v>
      </c>
      <c r="D114" s="9">
        <v>0.004552089600000642</v>
      </c>
      <c r="E114" s="9">
        <v>54.65</v>
      </c>
      <c r="F114" s="10" t="s">
        <v>140</v>
      </c>
      <c r="G114" s="8" t="s">
        <v>19</v>
      </c>
      <c r="H114" s="9">
        <v>0.007233725583361019</v>
      </c>
      <c r="I114" s="9">
        <v>159.035</v>
      </c>
      <c r="J114" s="9">
        <v>0.021</v>
      </c>
      <c r="K114" s="9">
        <v>158.855</v>
      </c>
      <c r="L114" s="9">
        <v>-0.0346</v>
      </c>
      <c r="M114" s="8" t="s">
        <v>42</v>
      </c>
    </row>
    <row r="115">
      <c r="A115" s="9">
        <v>158.64</v>
      </c>
      <c r="B115" s="9">
        <v>158.42</v>
      </c>
      <c r="C115" s="9">
        <v>0.16</v>
      </c>
      <c r="D115" s="9">
        <v>0.020584806400002265</v>
      </c>
      <c r="E115" s="9">
        <v>217.83</v>
      </c>
      <c r="F115" s="10" t="s">
        <v>141</v>
      </c>
      <c r="G115" s="8" t="s">
        <v>19</v>
      </c>
      <c r="H115" s="9">
        <v>0.03265573687296359</v>
      </c>
      <c r="I115" s="9">
        <v>158.805</v>
      </c>
      <c r="J115" s="9">
        <v>0.1617</v>
      </c>
      <c r="K115" s="9">
        <v>158.44</v>
      </c>
      <c r="L115" s="9">
        <v>0.104</v>
      </c>
      <c r="M115" s="8" t="s">
        <v>45</v>
      </c>
    </row>
    <row r="116">
      <c r="A116" s="9">
        <v>157.86</v>
      </c>
      <c r="B116" s="9">
        <v>157.99</v>
      </c>
      <c r="C116" s="9">
        <v>0.16</v>
      </c>
      <c r="D116" s="9">
        <v>0.006248627199997969</v>
      </c>
      <c r="E116" s="9">
        <v>282.7</v>
      </c>
      <c r="F116" s="10" t="s">
        <v>142</v>
      </c>
      <c r="G116" s="8" t="s">
        <v>19</v>
      </c>
      <c r="H116" s="9">
        <v>0.009864082897916796</v>
      </c>
      <c r="I116" s="9">
        <v>157.995</v>
      </c>
      <c r="J116" s="9">
        <v>0.0279</v>
      </c>
      <c r="K116" s="9">
        <v>157.555</v>
      </c>
      <c r="L116" s="9">
        <v>-0.1932</v>
      </c>
      <c r="M116" s="8" t="s">
        <v>42</v>
      </c>
    </row>
    <row r="117">
      <c r="A117" s="9">
        <v>160.52</v>
      </c>
      <c r="B117" s="9">
        <v>160.38</v>
      </c>
      <c r="C117" s="9">
        <v>0.16</v>
      </c>
      <c r="D117" s="9">
        <v>0.0076097024000070235</v>
      </c>
      <c r="E117" s="9">
        <v>7.52</v>
      </c>
      <c r="F117" s="10" t="s">
        <v>143</v>
      </c>
      <c r="G117" s="8" t="s">
        <v>19</v>
      </c>
      <c r="H117" s="9">
        <v>0.012215094292491275</v>
      </c>
      <c r="I117" s="9">
        <v>160.52</v>
      </c>
      <c r="J117" s="9">
        <v>0.0576</v>
      </c>
      <c r="K117" s="9">
        <v>160.355</v>
      </c>
      <c r="L117" s="9">
        <v>0.0</v>
      </c>
      <c r="M117" s="8" t="s">
        <v>45</v>
      </c>
    </row>
    <row r="118">
      <c r="A118" s="9">
        <v>158.57</v>
      </c>
      <c r="B118" s="9">
        <v>158.65</v>
      </c>
      <c r="C118" s="9">
        <v>0.16</v>
      </c>
      <c r="D118" s="9">
        <v>-0.001815654399997868</v>
      </c>
      <c r="E118" s="9">
        <v>54.61</v>
      </c>
      <c r="F118" s="10" t="s">
        <v>144</v>
      </c>
      <c r="G118" s="8" t="s">
        <v>19</v>
      </c>
      <c r="H118" s="9">
        <v>-0.002879083182076619</v>
      </c>
      <c r="I118" s="9">
        <v>158.695</v>
      </c>
      <c r="J118" s="9">
        <v>0.0212</v>
      </c>
      <c r="K118" s="9">
        <v>158.345</v>
      </c>
      <c r="L118" s="9">
        <v>-0.1419</v>
      </c>
      <c r="M118" s="8" t="s">
        <v>42</v>
      </c>
    </row>
    <row r="119">
      <c r="A119" s="9">
        <v>157.87</v>
      </c>
      <c r="B119" s="9">
        <v>157.76</v>
      </c>
      <c r="C119" s="9">
        <v>0.16</v>
      </c>
      <c r="D119" s="9">
        <v>0.0030532352000030016</v>
      </c>
      <c r="E119" s="9">
        <v>7.45</v>
      </c>
      <c r="F119" s="10" t="s">
        <v>145</v>
      </c>
      <c r="G119" s="8" t="s">
        <v>19</v>
      </c>
      <c r="H119" s="9">
        <v>0.004820142410244739</v>
      </c>
      <c r="I119" s="9">
        <v>157.87</v>
      </c>
      <c r="J119" s="9">
        <v>0.0576</v>
      </c>
      <c r="K119" s="9">
        <v>157.715</v>
      </c>
      <c r="L119" s="9">
        <v>0.0</v>
      </c>
      <c r="M119" s="8" t="s">
        <v>45</v>
      </c>
    </row>
    <row r="120">
      <c r="A120" s="9">
        <v>158.73</v>
      </c>
      <c r="B120" s="9">
        <v>158.35</v>
      </c>
      <c r="C120" s="9">
        <v>0.16</v>
      </c>
      <c r="D120" s="9">
        <v>-0.0754198016000025</v>
      </c>
      <c r="E120" s="9">
        <v>34.12</v>
      </c>
      <c r="F120" s="10" t="s">
        <v>146</v>
      </c>
      <c r="G120" s="8" t="s">
        <v>96</v>
      </c>
      <c r="H120" s="9">
        <v>-0.11971385107968396</v>
      </c>
      <c r="I120" s="9">
        <v>158.73</v>
      </c>
      <c r="J120" s="9">
        <v>-0.0576</v>
      </c>
      <c r="K120" s="9">
        <v>158.355</v>
      </c>
      <c r="L120" s="9">
        <v>-0.2363</v>
      </c>
      <c r="M120" s="8" t="s">
        <v>42</v>
      </c>
    </row>
    <row r="121">
      <c r="A121" s="9">
        <v>157.18</v>
      </c>
      <c r="B121" s="9">
        <v>156.83</v>
      </c>
      <c r="C121" s="9">
        <v>0.16</v>
      </c>
      <c r="D121" s="9">
        <v>0.04152235519999792</v>
      </c>
      <c r="E121" s="9">
        <v>18.04</v>
      </c>
      <c r="F121" s="10" t="s">
        <v>147</v>
      </c>
      <c r="G121" s="8" t="s">
        <v>19</v>
      </c>
      <c r="H121" s="9">
        <v>0.06526483790335673</v>
      </c>
      <c r="I121" s="9">
        <v>157.185</v>
      </c>
      <c r="J121" s="9">
        <v>0.0608</v>
      </c>
      <c r="K121" s="9">
        <v>156.815</v>
      </c>
      <c r="L121" s="9">
        <v>0.0032</v>
      </c>
      <c r="M121" s="8" t="s">
        <v>45</v>
      </c>
    </row>
    <row r="122">
      <c r="A122" s="9">
        <v>155.14</v>
      </c>
      <c r="B122" s="9">
        <v>155.34</v>
      </c>
      <c r="C122" s="9">
        <v>0.16</v>
      </c>
      <c r="D122" s="9">
        <v>0.017697689600002064</v>
      </c>
      <c r="E122" s="9">
        <v>23.42</v>
      </c>
      <c r="F122" s="8" t="s">
        <v>148</v>
      </c>
      <c r="G122" s="8" t="s">
        <v>19</v>
      </c>
      <c r="H122" s="9">
        <v>0.0274561956454432</v>
      </c>
      <c r="I122" s="9">
        <v>155.345</v>
      </c>
      <c r="J122" s="9">
        <v>0.0745</v>
      </c>
      <c r="K122" s="9">
        <v>155.12</v>
      </c>
      <c r="L122" s="9">
        <v>-0.0129</v>
      </c>
      <c r="M122" s="8" t="s">
        <v>42</v>
      </c>
    </row>
    <row r="123">
      <c r="A123" s="9">
        <v>155.05</v>
      </c>
      <c r="B123" s="9">
        <v>154.89</v>
      </c>
      <c r="C123" s="9">
        <v>0.16</v>
      </c>
      <c r="D123" s="9">
        <v>0.011314278400003985</v>
      </c>
      <c r="E123" s="9">
        <v>18.57</v>
      </c>
      <c r="F123" s="10" t="s">
        <v>149</v>
      </c>
      <c r="G123" s="8" t="s">
        <v>19</v>
      </c>
      <c r="H123" s="9">
        <v>0.017542788659206183</v>
      </c>
      <c r="I123" s="9">
        <v>155.06</v>
      </c>
      <c r="J123" s="9">
        <v>0.0641</v>
      </c>
      <c r="K123" s="9">
        <v>154.815</v>
      </c>
      <c r="L123" s="9">
        <v>0.0064</v>
      </c>
      <c r="M123" s="8" t="s">
        <v>45</v>
      </c>
    </row>
    <row r="124">
      <c r="A124" s="9">
        <v>156.14</v>
      </c>
      <c r="B124" s="9">
        <v>156.24</v>
      </c>
      <c r="C124" s="9">
        <v>0.16</v>
      </c>
      <c r="D124" s="9">
        <v>0.0016078336000049376</v>
      </c>
      <c r="E124" s="9">
        <v>33.74</v>
      </c>
      <c r="F124" s="10" t="s">
        <v>150</v>
      </c>
      <c r="G124" s="8" t="s">
        <v>19</v>
      </c>
      <c r="H124" s="9">
        <v>0.0025104713830477092</v>
      </c>
      <c r="I124" s="9">
        <v>156.265</v>
      </c>
      <c r="J124" s="9">
        <v>0.0224</v>
      </c>
      <c r="K124" s="9">
        <v>156.105</v>
      </c>
      <c r="L124" s="9">
        <v>-0.0224</v>
      </c>
      <c r="M124" s="8" t="s">
        <v>42</v>
      </c>
    </row>
    <row r="125">
      <c r="A125" s="9">
        <v>156.53</v>
      </c>
      <c r="B125" s="9">
        <v>156.38</v>
      </c>
      <c r="C125" s="9">
        <v>0.16</v>
      </c>
      <c r="D125" s="9">
        <v>0.009577651200004311</v>
      </c>
      <c r="E125" s="9">
        <v>160.01</v>
      </c>
      <c r="F125" s="10" t="s">
        <v>151</v>
      </c>
      <c r="G125" s="8" t="s">
        <v>19</v>
      </c>
      <c r="H125" s="9">
        <v>0.014991897423366747</v>
      </c>
      <c r="I125" s="9">
        <v>156.645</v>
      </c>
      <c r="J125" s="9">
        <v>0.1311</v>
      </c>
      <c r="K125" s="9">
        <v>156.355</v>
      </c>
      <c r="L125" s="9">
        <v>0.0735</v>
      </c>
      <c r="M125" s="8" t="s">
        <v>45</v>
      </c>
    </row>
    <row r="126">
      <c r="A126" s="9">
        <v>156.39</v>
      </c>
      <c r="B126" s="9">
        <v>156.5</v>
      </c>
      <c r="C126" s="9">
        <v>0.16</v>
      </c>
      <c r="D126" s="9">
        <v>0.003184563200001378</v>
      </c>
      <c r="E126" s="9">
        <v>133.96</v>
      </c>
      <c r="F126" s="10" t="s">
        <v>152</v>
      </c>
      <c r="G126" s="8" t="s">
        <v>19</v>
      </c>
      <c r="H126" s="9">
        <v>0.004980338388482154</v>
      </c>
      <c r="I126" s="9">
        <v>156.525</v>
      </c>
      <c r="J126" s="9">
        <v>0.0287</v>
      </c>
      <c r="K126" s="9">
        <v>156.24</v>
      </c>
      <c r="L126" s="9">
        <v>-0.0959</v>
      </c>
      <c r="M126" s="8" t="s">
        <v>42</v>
      </c>
    </row>
    <row r="127">
      <c r="A127" s="9">
        <v>157.46</v>
      </c>
      <c r="B127" s="9">
        <v>157.27</v>
      </c>
      <c r="C127" s="9">
        <v>0.16</v>
      </c>
      <c r="D127" s="9">
        <v>0.01589286400000489</v>
      </c>
      <c r="E127" s="9">
        <v>38.96</v>
      </c>
      <c r="F127" s="10" t="s">
        <v>153</v>
      </c>
      <c r="G127" s="8" t="s">
        <v>19</v>
      </c>
      <c r="H127" s="9">
        <v>0.025024903654407703</v>
      </c>
      <c r="I127" s="9">
        <v>157.55</v>
      </c>
      <c r="J127" s="9">
        <v>0.1148</v>
      </c>
      <c r="K127" s="9">
        <v>157.245</v>
      </c>
      <c r="L127" s="9">
        <v>0.0572</v>
      </c>
      <c r="M127" s="8" t="s">
        <v>45</v>
      </c>
    </row>
    <row r="128">
      <c r="A128" s="9">
        <v>157.06</v>
      </c>
      <c r="B128" s="9">
        <v>157.34</v>
      </c>
      <c r="C128" s="9">
        <v>0.16</v>
      </c>
      <c r="D128" s="9">
        <v>0.03031889920000097</v>
      </c>
      <c r="E128" s="9">
        <v>81.26</v>
      </c>
      <c r="F128" s="10" t="s">
        <v>154</v>
      </c>
      <c r="G128" s="8" t="s">
        <v>19</v>
      </c>
      <c r="H128" s="9">
        <v>0.04761886308352153</v>
      </c>
      <c r="I128" s="9">
        <v>157.345</v>
      </c>
      <c r="J128" s="9">
        <v>0.1238</v>
      </c>
      <c r="K128" s="9">
        <v>156.965</v>
      </c>
      <c r="L128" s="9">
        <v>-0.0605</v>
      </c>
      <c r="M128" s="8" t="s">
        <v>42</v>
      </c>
    </row>
    <row r="129">
      <c r="A129" s="9">
        <v>156.55</v>
      </c>
      <c r="B129" s="9">
        <v>156.43</v>
      </c>
      <c r="C129" s="9">
        <v>0.16</v>
      </c>
      <c r="D129" s="9">
        <v>0.004775116800004753</v>
      </c>
      <c r="E129" s="9">
        <v>12.68</v>
      </c>
      <c r="F129" s="10" t="s">
        <v>155</v>
      </c>
      <c r="G129" s="8" t="s">
        <v>19</v>
      </c>
      <c r="H129" s="9">
        <v>0.007475445350407441</v>
      </c>
      <c r="I129" s="9">
        <v>156.555</v>
      </c>
      <c r="J129" s="9">
        <v>0.0608</v>
      </c>
      <c r="K129" s="9">
        <v>156.405</v>
      </c>
      <c r="L129" s="9">
        <v>0.0032</v>
      </c>
      <c r="M129" s="8" t="s">
        <v>45</v>
      </c>
    </row>
    <row r="130">
      <c r="A130" s="9">
        <v>155.69</v>
      </c>
      <c r="B130" s="9">
        <v>155.35</v>
      </c>
      <c r="C130" s="9">
        <v>0.16</v>
      </c>
      <c r="D130" s="9">
        <v>-0.06874055680000168</v>
      </c>
      <c r="E130" s="9">
        <v>55.29</v>
      </c>
      <c r="F130" s="10" t="s">
        <v>156</v>
      </c>
      <c r="G130" s="8" t="s">
        <v>96</v>
      </c>
      <c r="H130" s="9">
        <v>-0.10702217288192262</v>
      </c>
      <c r="I130" s="9">
        <v>155.705</v>
      </c>
      <c r="J130" s="9">
        <v>-0.0479</v>
      </c>
      <c r="K130" s="9">
        <v>155.355</v>
      </c>
      <c r="L130" s="9">
        <v>-0.2152</v>
      </c>
      <c r="M130" s="8" t="s">
        <v>42</v>
      </c>
    </row>
    <row r="131">
      <c r="A131" s="9">
        <v>154.69</v>
      </c>
      <c r="B131" s="9">
        <v>155.12</v>
      </c>
      <c r="C131" s="9">
        <v>0.16</v>
      </c>
      <c r="D131" s="9">
        <v>-0.08306613759999948</v>
      </c>
      <c r="E131" s="9">
        <v>123.44</v>
      </c>
      <c r="F131" s="10" t="s">
        <v>157</v>
      </c>
      <c r="G131" s="8" t="s">
        <v>96</v>
      </c>
      <c r="H131" s="9">
        <v>-0.12849500825343918</v>
      </c>
      <c r="I131" s="9">
        <v>155.055</v>
      </c>
      <c r="J131" s="9">
        <v>0.2937</v>
      </c>
      <c r="K131" s="9">
        <v>154.585</v>
      </c>
      <c r="L131" s="9">
        <v>0.236</v>
      </c>
      <c r="M131" s="8" t="s">
        <v>45</v>
      </c>
    </row>
    <row r="132">
      <c r="A132" s="9">
        <v>155.59</v>
      </c>
      <c r="B132" s="9">
        <v>155.68</v>
      </c>
      <c r="C132" s="9">
        <v>0.16</v>
      </c>
      <c r="D132" s="9">
        <v>5.875200000460268E-5</v>
      </c>
      <c r="E132" s="9">
        <v>112.63</v>
      </c>
      <c r="F132" s="10" t="s">
        <v>158</v>
      </c>
      <c r="G132" s="8" t="s">
        <v>19</v>
      </c>
      <c r="H132" s="9">
        <v>9.141223680716131E-5</v>
      </c>
      <c r="I132" s="9">
        <v>155.725</v>
      </c>
      <c r="J132" s="9">
        <v>0.0291</v>
      </c>
      <c r="K132" s="9">
        <v>155.545</v>
      </c>
      <c r="L132" s="9">
        <v>-0.0289</v>
      </c>
      <c r="M132" s="8" t="s">
        <v>42</v>
      </c>
    </row>
    <row r="133">
      <c r="A133" s="9">
        <v>155.86</v>
      </c>
      <c r="B133" s="9">
        <v>155.74</v>
      </c>
      <c r="C133" s="9">
        <v>0.16</v>
      </c>
      <c r="D133" s="9">
        <v>0.004838707200004677</v>
      </c>
      <c r="E133" s="9">
        <v>133.37</v>
      </c>
      <c r="F133" s="10" t="s">
        <v>159</v>
      </c>
      <c r="G133" s="8" t="s">
        <v>19</v>
      </c>
      <c r="H133" s="9">
        <v>0.007541609041927291</v>
      </c>
      <c r="I133" s="9">
        <v>155.975</v>
      </c>
      <c r="J133" s="9">
        <v>0.1315</v>
      </c>
      <c r="K133" s="9">
        <v>155.735</v>
      </c>
      <c r="L133" s="9">
        <v>0.0738</v>
      </c>
      <c r="M133" s="8" t="s">
        <v>45</v>
      </c>
    </row>
    <row r="134">
      <c r="A134" s="9">
        <v>155.13</v>
      </c>
      <c r="B134" s="9">
        <v>155.26</v>
      </c>
      <c r="C134" s="9">
        <v>0.16</v>
      </c>
      <c r="D134" s="9">
        <v>0.006500223999999832</v>
      </c>
      <c r="E134" s="9">
        <v>17.6</v>
      </c>
      <c r="F134" s="10" t="s">
        <v>160</v>
      </c>
      <c r="G134" s="8" t="s">
        <v>19</v>
      </c>
      <c r="H134" s="9">
        <v>0.010083797491199739</v>
      </c>
      <c r="I134" s="9">
        <v>155.265</v>
      </c>
      <c r="J134" s="9">
        <v>0.0294</v>
      </c>
      <c r="K134" s="9">
        <v>155.125</v>
      </c>
      <c r="L134" s="9">
        <v>-0.0032</v>
      </c>
      <c r="M134" s="8" t="s">
        <v>42</v>
      </c>
    </row>
    <row r="135">
      <c r="A135" s="9">
        <v>154.89</v>
      </c>
      <c r="B135" s="9">
        <v>154.63</v>
      </c>
      <c r="C135" s="9">
        <v>0.16</v>
      </c>
      <c r="D135" s="9">
        <v>0.027331328000002486</v>
      </c>
      <c r="E135" s="9">
        <v>60.31</v>
      </c>
      <c r="F135" s="10" t="s">
        <v>161</v>
      </c>
      <c r="G135" s="8" t="s">
        <v>19</v>
      </c>
      <c r="H135" s="9">
        <v>0.042333493939203846</v>
      </c>
      <c r="I135" s="9">
        <v>154.965</v>
      </c>
      <c r="J135" s="9">
        <v>0.1061</v>
      </c>
      <c r="K135" s="9">
        <v>154.645</v>
      </c>
      <c r="L135" s="9">
        <v>0.0484</v>
      </c>
      <c r="M135" s="8" t="s">
        <v>45</v>
      </c>
    </row>
    <row r="136">
      <c r="A136" s="9">
        <v>154.27</v>
      </c>
      <c r="B136" s="9">
        <v>154.48</v>
      </c>
      <c r="C136" s="9">
        <v>0.16</v>
      </c>
      <c r="D136" s="9">
        <v>0.019377638399998176</v>
      </c>
      <c r="E136" s="9">
        <v>28.33</v>
      </c>
      <c r="F136" s="10" t="s">
        <v>162</v>
      </c>
      <c r="G136" s="8" t="s">
        <v>19</v>
      </c>
      <c r="H136" s="9">
        <v>0.02989388275967719</v>
      </c>
      <c r="I136" s="9">
        <v>154.515</v>
      </c>
      <c r="J136" s="9">
        <v>0.1012</v>
      </c>
      <c r="K136" s="9">
        <v>154.235</v>
      </c>
      <c r="L136" s="9">
        <v>-0.0227</v>
      </c>
      <c r="M136" s="8" t="s">
        <v>42</v>
      </c>
    </row>
    <row r="137">
      <c r="A137" s="9">
        <v>155.52</v>
      </c>
      <c r="B137" s="9">
        <v>155.29</v>
      </c>
      <c r="C137" s="9">
        <v>0.16</v>
      </c>
      <c r="D137" s="9">
        <v>0.022472576000005517</v>
      </c>
      <c r="E137" s="9">
        <v>55.9</v>
      </c>
      <c r="F137" s="10" t="s">
        <v>163</v>
      </c>
      <c r="G137" s="8" t="s">
        <v>19</v>
      </c>
      <c r="H137" s="9">
        <v>0.03494935019520858</v>
      </c>
      <c r="I137" s="9">
        <v>155.545</v>
      </c>
      <c r="J137" s="9">
        <v>0.0737</v>
      </c>
      <c r="K137" s="9">
        <v>155.345</v>
      </c>
      <c r="L137" s="9">
        <v>0.0161</v>
      </c>
      <c r="M137" s="8" t="s">
        <v>45</v>
      </c>
    </row>
    <row r="138">
      <c r="A138" s="9">
        <v>155.85</v>
      </c>
      <c r="B138" s="9">
        <v>156.0</v>
      </c>
      <c r="C138" s="9">
        <v>0.16</v>
      </c>
      <c r="D138" s="9">
        <v>0.009633407999999122</v>
      </c>
      <c r="E138" s="9">
        <v>12.5</v>
      </c>
      <c r="F138" s="10" t="s">
        <v>164</v>
      </c>
      <c r="G138" s="8" t="s">
        <v>19</v>
      </c>
      <c r="H138" s="9">
        <v>0.015013666367998632</v>
      </c>
      <c r="I138" s="9">
        <v>155.975</v>
      </c>
      <c r="J138" s="9">
        <v>0.0226</v>
      </c>
      <c r="K138" s="9">
        <v>155.815</v>
      </c>
      <c r="L138" s="9">
        <v>-0.0225</v>
      </c>
      <c r="M138" s="8" t="s">
        <v>42</v>
      </c>
    </row>
    <row r="139">
      <c r="A139" s="9">
        <v>155.95</v>
      </c>
      <c r="B139" s="9">
        <v>155.84</v>
      </c>
      <c r="C139" s="9">
        <v>0.16</v>
      </c>
      <c r="D139" s="9">
        <v>0.003230182399999393</v>
      </c>
      <c r="E139" s="9">
        <v>71.72</v>
      </c>
      <c r="F139" s="10" t="s">
        <v>165</v>
      </c>
      <c r="G139" s="8" t="s">
        <v>19</v>
      </c>
      <c r="H139" s="9">
        <v>0.005037469452799053</v>
      </c>
      <c r="I139" s="9">
        <v>156.085</v>
      </c>
      <c r="J139" s="9">
        <v>0.1442</v>
      </c>
      <c r="K139" s="9">
        <v>155.795</v>
      </c>
      <c r="L139" s="9">
        <v>0.0866</v>
      </c>
      <c r="M139" s="8" t="s">
        <v>45</v>
      </c>
    </row>
    <row r="140">
      <c r="A140" s="9">
        <v>156.39</v>
      </c>
      <c r="B140" s="9">
        <v>156.54</v>
      </c>
      <c r="C140" s="9">
        <v>0.16</v>
      </c>
      <c r="D140" s="9">
        <v>0.009583641599999027</v>
      </c>
      <c r="E140" s="9">
        <v>44.21</v>
      </c>
      <c r="F140" s="10" t="s">
        <v>166</v>
      </c>
      <c r="G140" s="8" t="s">
        <v>19</v>
      </c>
      <c r="H140" s="9">
        <v>0.014987857098238477</v>
      </c>
      <c r="I140" s="9">
        <v>156.58</v>
      </c>
      <c r="J140" s="9">
        <v>0.0639</v>
      </c>
      <c r="K140" s="9">
        <v>156.345</v>
      </c>
      <c r="L140" s="9">
        <v>-0.0288</v>
      </c>
      <c r="M140" s="8" t="s">
        <v>42</v>
      </c>
    </row>
    <row r="141">
      <c r="A141" s="9">
        <v>156.01</v>
      </c>
      <c r="B141" s="9">
        <v>155.86</v>
      </c>
      <c r="C141" s="9">
        <v>0.16</v>
      </c>
      <c r="D141" s="9">
        <v>0.009625574400001113</v>
      </c>
      <c r="E141" s="9">
        <v>23.15</v>
      </c>
      <c r="F141" s="10" t="s">
        <v>167</v>
      </c>
      <c r="G141" s="8" t="s">
        <v>19</v>
      </c>
      <c r="H141" s="9">
        <v>0.015016858621441736</v>
      </c>
      <c r="I141" s="9">
        <v>156.025</v>
      </c>
      <c r="J141" s="9">
        <v>0.0673</v>
      </c>
      <c r="K141" s="9">
        <v>155.795</v>
      </c>
      <c r="L141" s="9">
        <v>0.0096</v>
      </c>
      <c r="M141" s="8" t="s">
        <v>45</v>
      </c>
    </row>
    <row r="142">
      <c r="A142" s="9">
        <v>155.59</v>
      </c>
      <c r="B142" s="9">
        <v>155.82</v>
      </c>
      <c r="C142" s="9">
        <v>0.16</v>
      </c>
      <c r="D142" s="9">
        <v>0.022455526400001702</v>
      </c>
      <c r="E142" s="9">
        <v>12.67</v>
      </c>
      <c r="F142" s="10" t="s">
        <v>168</v>
      </c>
      <c r="G142" s="8" t="s">
        <v>19</v>
      </c>
      <c r="H142" s="9">
        <v>0.034938553525762646</v>
      </c>
      <c r="I142" s="9">
        <v>155.795</v>
      </c>
      <c r="J142" s="9">
        <v>0.0741</v>
      </c>
      <c r="K142" s="9">
        <v>155.565</v>
      </c>
      <c r="L142" s="9">
        <v>-0.0161</v>
      </c>
      <c r="M142" s="8" t="s">
        <v>42</v>
      </c>
    </row>
    <row r="143">
      <c r="A143" s="9">
        <v>156.18</v>
      </c>
      <c r="B143" s="9">
        <v>156.54</v>
      </c>
      <c r="C143" s="9">
        <v>0.16</v>
      </c>
      <c r="D143" s="9">
        <v>-0.07200184319999536</v>
      </c>
      <c r="E143" s="9">
        <v>96.4</v>
      </c>
      <c r="F143" s="10" t="s">
        <v>169</v>
      </c>
      <c r="G143" s="8" t="s">
        <v>96</v>
      </c>
      <c r="H143" s="9">
        <v>-0.11245247870975277</v>
      </c>
      <c r="I143" s="9">
        <v>156.525</v>
      </c>
      <c r="J143" s="9">
        <v>0.2787</v>
      </c>
      <c r="K143" s="9">
        <v>156.155</v>
      </c>
      <c r="L143" s="9">
        <v>0.2209</v>
      </c>
      <c r="M143" s="8" t="s">
        <v>45</v>
      </c>
    </row>
    <row r="144">
      <c r="A144" s="9">
        <v>157.28</v>
      </c>
      <c r="B144" s="9">
        <v>156.95</v>
      </c>
      <c r="C144" s="9">
        <v>0.16</v>
      </c>
      <c r="D144" s="9">
        <v>-0.06728732160000206</v>
      </c>
      <c r="E144" s="9">
        <v>101.97</v>
      </c>
      <c r="F144" s="10" t="s">
        <v>170</v>
      </c>
      <c r="G144" s="8" t="s">
        <v>96</v>
      </c>
      <c r="H144" s="9">
        <v>-0.10582949941248324</v>
      </c>
      <c r="I144" s="9">
        <v>157.28</v>
      </c>
      <c r="J144" s="9">
        <v>-0.0576</v>
      </c>
      <c r="K144" s="9">
        <v>156.915</v>
      </c>
      <c r="L144" s="9">
        <v>-0.2321</v>
      </c>
      <c r="M144" s="8" t="s">
        <v>42</v>
      </c>
    </row>
    <row r="145">
      <c r="A145" s="9">
        <v>157.16</v>
      </c>
      <c r="B145" s="9">
        <v>157.34</v>
      </c>
      <c r="C145" s="9">
        <v>0.16</v>
      </c>
      <c r="D145" s="9">
        <v>0.014311987199999265</v>
      </c>
      <c r="E145" s="9">
        <v>276.42</v>
      </c>
      <c r="F145" s="10" t="s">
        <v>171</v>
      </c>
      <c r="G145" s="8" t="s">
        <v>19</v>
      </c>
      <c r="H145" s="9">
        <v>0.022492719083518842</v>
      </c>
      <c r="I145" s="9">
        <v>157.335</v>
      </c>
      <c r="J145" s="9">
        <v>0.0537</v>
      </c>
      <c r="K145" s="9">
        <v>156.895</v>
      </c>
      <c r="L145" s="9">
        <v>-0.1686</v>
      </c>
      <c r="M145" s="8" t="s">
        <v>42</v>
      </c>
    </row>
    <row r="146">
      <c r="A146" s="9">
        <v>157.44</v>
      </c>
      <c r="B146" s="9">
        <v>157.77</v>
      </c>
      <c r="C146" s="9">
        <v>0.16</v>
      </c>
      <c r="D146" s="9">
        <v>-0.06731727359999695</v>
      </c>
      <c r="E146" s="9">
        <v>96.92</v>
      </c>
      <c r="F146" s="10" t="s">
        <v>172</v>
      </c>
      <c r="G146" s="8" t="s">
        <v>96</v>
      </c>
      <c r="H146" s="9">
        <v>-0.1059843155558352</v>
      </c>
      <c r="I146" s="9">
        <v>157.765</v>
      </c>
      <c r="J146" s="9">
        <v>0.2642</v>
      </c>
      <c r="K146" s="9">
        <v>157.395</v>
      </c>
      <c r="L146" s="9">
        <v>0.2064</v>
      </c>
      <c r="M146" s="8" t="s">
        <v>45</v>
      </c>
    </row>
    <row r="147">
      <c r="A147" s="9">
        <v>156.43</v>
      </c>
      <c r="B147" s="9">
        <v>156.1</v>
      </c>
      <c r="C147" s="9">
        <v>0.16</v>
      </c>
      <c r="D147" s="9">
        <v>-0.06720898560000066</v>
      </c>
      <c r="E147" s="9">
        <v>223.08</v>
      </c>
      <c r="F147" s="10" t="s">
        <v>173</v>
      </c>
      <c r="G147" s="8" t="s">
        <v>96</v>
      </c>
      <c r="H147" s="9">
        <v>-0.10513501617408104</v>
      </c>
      <c r="I147" s="9">
        <v>156.455</v>
      </c>
      <c r="J147" s="9">
        <v>-0.0416</v>
      </c>
      <c r="K147" s="9">
        <v>156.105</v>
      </c>
      <c r="L147" s="9">
        <v>-0.2078</v>
      </c>
      <c r="M147" s="8" t="s">
        <v>42</v>
      </c>
    </row>
    <row r="148">
      <c r="A148" s="9">
        <v>155.94</v>
      </c>
      <c r="B148" s="9">
        <v>156.11</v>
      </c>
      <c r="C148" s="9">
        <v>0.16</v>
      </c>
      <c r="D148" s="9">
        <v>0.012824652799999114</v>
      </c>
      <c r="E148" s="9">
        <v>85.96</v>
      </c>
      <c r="F148" s="10" t="s">
        <v>174</v>
      </c>
      <c r="G148" s="8" t="s">
        <v>19</v>
      </c>
      <c r="H148" s="9">
        <v>0.019998763576318617</v>
      </c>
      <c r="I148" s="9">
        <v>156.115</v>
      </c>
      <c r="J148" s="9">
        <v>0.0546</v>
      </c>
      <c r="K148" s="9">
        <v>155.795</v>
      </c>
      <c r="L148" s="9">
        <v>-0.093</v>
      </c>
      <c r="M148" s="8" t="s">
        <v>42</v>
      </c>
    </row>
    <row r="149">
      <c r="A149" s="9">
        <v>157.11</v>
      </c>
      <c r="B149" s="9">
        <v>156.88</v>
      </c>
      <c r="C149" s="9">
        <v>0.16</v>
      </c>
      <c r="D149" s="9">
        <v>0.022326041600003066</v>
      </c>
      <c r="E149" s="9">
        <v>44.34</v>
      </c>
      <c r="F149" s="10" t="s">
        <v>175</v>
      </c>
      <c r="G149" s="8" t="s">
        <v>19</v>
      </c>
      <c r="H149" s="9">
        <v>0.03507644395776482</v>
      </c>
      <c r="I149" s="9">
        <v>157.115</v>
      </c>
      <c r="J149" s="9">
        <v>0.0608</v>
      </c>
      <c r="K149" s="9">
        <v>156.925</v>
      </c>
      <c r="L149" s="9">
        <v>0.0032</v>
      </c>
      <c r="M149" s="8" t="s">
        <v>45</v>
      </c>
    </row>
    <row r="150">
      <c r="A150" s="9">
        <v>157.7</v>
      </c>
      <c r="B150" s="9">
        <v>157.83</v>
      </c>
      <c r="C150" s="9">
        <v>0.16</v>
      </c>
      <c r="D150" s="9">
        <v>0.0062633728000029976</v>
      </c>
      <c r="E150" s="9">
        <v>80.78</v>
      </c>
      <c r="F150" s="10" t="s">
        <v>176</v>
      </c>
      <c r="G150" s="8" t="s">
        <v>19</v>
      </c>
      <c r="H150" s="9">
        <v>0.009877338905604728</v>
      </c>
      <c r="I150" s="9">
        <v>157.855</v>
      </c>
      <c r="J150" s="9">
        <v>0.0407</v>
      </c>
      <c r="K150" s="9">
        <v>157.645</v>
      </c>
      <c r="L150" s="9">
        <v>-0.0349</v>
      </c>
      <c r="M150" s="8" t="s">
        <v>42</v>
      </c>
    </row>
    <row r="151">
      <c r="A151" s="9">
        <v>157.56</v>
      </c>
      <c r="B151" s="9">
        <v>157.45</v>
      </c>
      <c r="C151" s="9">
        <v>0.16</v>
      </c>
      <c r="D151" s="9">
        <v>0.0030818048000043063</v>
      </c>
      <c r="E151" s="9">
        <v>28.42</v>
      </c>
      <c r="F151" s="10" t="s">
        <v>177</v>
      </c>
      <c r="G151" s="8" t="s">
        <v>19</v>
      </c>
      <c r="H151" s="9">
        <v>0.004855691642886785</v>
      </c>
      <c r="I151" s="9">
        <v>157.565</v>
      </c>
      <c r="J151" s="9">
        <v>0.0608</v>
      </c>
      <c r="K151" s="9">
        <v>157.425</v>
      </c>
      <c r="L151" s="9">
        <v>0.0032</v>
      </c>
      <c r="M151" s="8" t="s">
        <v>45</v>
      </c>
    </row>
    <row r="152">
      <c r="A152" s="9">
        <v>157.28</v>
      </c>
      <c r="B152" s="9">
        <v>157.44</v>
      </c>
      <c r="C152" s="9">
        <v>0.16</v>
      </c>
      <c r="D152" s="9">
        <v>0.011101388800000223</v>
      </c>
      <c r="E152" s="9">
        <v>22.97</v>
      </c>
      <c r="F152" s="10" t="s">
        <v>178</v>
      </c>
      <c r="G152" s="8" t="s">
        <v>19</v>
      </c>
      <c r="H152" s="9">
        <v>0.01746026430464035</v>
      </c>
      <c r="I152" s="9">
        <v>157.445</v>
      </c>
      <c r="J152" s="9">
        <v>0.0473</v>
      </c>
      <c r="K152" s="9">
        <v>157.275</v>
      </c>
      <c r="L152" s="9">
        <v>-0.0032</v>
      </c>
      <c r="M152" s="8" t="s">
        <v>42</v>
      </c>
    </row>
    <row r="153">
      <c r="A153" s="9">
        <v>157.03</v>
      </c>
      <c r="B153" s="9">
        <v>156.93</v>
      </c>
      <c r="C153" s="9">
        <v>0.16</v>
      </c>
      <c r="D153" s="9">
        <v>0.0015304192000016315</v>
      </c>
      <c r="E153" s="9">
        <v>12.35</v>
      </c>
      <c r="F153" s="10" t="s">
        <v>179</v>
      </c>
      <c r="G153" s="8" t="s">
        <v>19</v>
      </c>
      <c r="H153" s="9">
        <v>0.0024032172697625617</v>
      </c>
      <c r="I153" s="9">
        <v>157.035</v>
      </c>
      <c r="J153" s="9">
        <v>0.0608</v>
      </c>
      <c r="K153" s="9">
        <v>156.905</v>
      </c>
      <c r="L153" s="9">
        <v>0.0032</v>
      </c>
      <c r="M153" s="8" t="s">
        <v>45</v>
      </c>
    </row>
    <row r="154">
      <c r="A154" s="9">
        <v>157.0</v>
      </c>
      <c r="B154" s="9">
        <v>157.14</v>
      </c>
      <c r="C154" s="9">
        <v>0.16</v>
      </c>
      <c r="D154" s="9">
        <v>0.007927654399995987</v>
      </c>
      <c r="E154" s="9">
        <v>102.46</v>
      </c>
      <c r="F154" s="10" t="s">
        <v>180</v>
      </c>
      <c r="G154" s="8" t="s">
        <v>19</v>
      </c>
      <c r="H154" s="9">
        <v>0.012446417407993701</v>
      </c>
      <c r="I154" s="9">
        <v>157.145</v>
      </c>
      <c r="J154" s="9">
        <v>0.0347</v>
      </c>
      <c r="K154" s="9">
        <v>156.95</v>
      </c>
      <c r="L154" s="9">
        <v>-0.0318</v>
      </c>
      <c r="M154" s="8" t="s">
        <v>42</v>
      </c>
    </row>
    <row r="155">
      <c r="A155" s="9">
        <v>157.52</v>
      </c>
      <c r="B155" s="9">
        <v>157.41</v>
      </c>
      <c r="C155" s="9">
        <v>0.16</v>
      </c>
      <c r="D155" s="9">
        <v>0.003085491200003787</v>
      </c>
      <c r="E155" s="9">
        <v>22.95</v>
      </c>
      <c r="F155" s="10" t="s">
        <v>181</v>
      </c>
      <c r="G155" s="8" t="s">
        <v>19</v>
      </c>
      <c r="H155" s="9">
        <v>0.004860265738245966</v>
      </c>
      <c r="I155" s="9">
        <v>157.525</v>
      </c>
      <c r="J155" s="9">
        <v>0.0608</v>
      </c>
      <c r="K155" s="9">
        <v>157.395</v>
      </c>
      <c r="L155" s="9">
        <v>0.0032</v>
      </c>
      <c r="M155" s="8" t="s">
        <v>45</v>
      </c>
    </row>
    <row r="156">
      <c r="A156" s="9">
        <v>157.73</v>
      </c>
      <c r="B156" s="9">
        <v>157.9</v>
      </c>
      <c r="C156" s="9">
        <v>0.16</v>
      </c>
      <c r="D156" s="9">
        <v>0.012659686400002812</v>
      </c>
      <c r="E156" s="9">
        <v>127.98</v>
      </c>
      <c r="F156" s="10" t="s">
        <v>182</v>
      </c>
      <c r="G156" s="8" t="s">
        <v>19</v>
      </c>
      <c r="H156" s="9">
        <v>0.019968123358724433</v>
      </c>
      <c r="I156" s="9">
        <v>157.905</v>
      </c>
      <c r="J156" s="9">
        <v>0.0533</v>
      </c>
      <c r="K156" s="9">
        <v>157.595</v>
      </c>
      <c r="L156" s="9">
        <v>-0.0856</v>
      </c>
      <c r="M156" s="8" t="s">
        <v>42</v>
      </c>
    </row>
    <row r="157">
      <c r="A157" s="9">
        <v>157.32</v>
      </c>
      <c r="B157" s="9">
        <v>157.14</v>
      </c>
      <c r="C157" s="9">
        <v>0.16</v>
      </c>
      <c r="D157" s="9">
        <v>0.01430553600000195</v>
      </c>
      <c r="E157" s="9">
        <v>160.0</v>
      </c>
      <c r="F157" s="10" t="s">
        <v>183</v>
      </c>
      <c r="G157" s="8" t="s">
        <v>19</v>
      </c>
      <c r="H157" s="9">
        <v>0.02250546923520307</v>
      </c>
      <c r="I157" s="9">
        <v>157.435</v>
      </c>
      <c r="J157" s="9">
        <v>0.1308</v>
      </c>
      <c r="K157" s="9">
        <v>157.145</v>
      </c>
      <c r="L157" s="9">
        <v>0.0731</v>
      </c>
      <c r="M157" s="8" t="s">
        <v>45</v>
      </c>
    </row>
    <row r="158">
      <c r="A158" s="9">
        <v>156.49</v>
      </c>
      <c r="B158" s="9">
        <v>156.69</v>
      </c>
      <c r="C158" s="9">
        <v>0.16</v>
      </c>
      <c r="D158" s="9">
        <v>0.017573273599996497</v>
      </c>
      <c r="E158" s="9">
        <v>536.21</v>
      </c>
      <c r="F158" s="10" t="s">
        <v>184</v>
      </c>
      <c r="G158" s="8" t="s">
        <v>19</v>
      </c>
      <c r="H158" s="9">
        <v>0.02750041585663452</v>
      </c>
      <c r="I158" s="9">
        <v>156.685</v>
      </c>
      <c r="J158" s="9">
        <v>0.067</v>
      </c>
      <c r="K158" s="9">
        <v>156.265</v>
      </c>
      <c r="L158" s="9">
        <v>-0.1438</v>
      </c>
      <c r="M158" s="8" t="s">
        <v>42</v>
      </c>
    </row>
    <row r="159">
      <c r="A159" s="9">
        <v>156.03</v>
      </c>
      <c r="B159" s="9">
        <v>155.81</v>
      </c>
      <c r="C159" s="9">
        <v>0.16</v>
      </c>
      <c r="D159" s="9">
        <v>0.020825344000002133</v>
      </c>
      <c r="E159" s="9">
        <v>17.99</v>
      </c>
      <c r="F159" s="10" t="s">
        <v>185</v>
      </c>
      <c r="G159" s="8" t="s">
        <v>19</v>
      </c>
      <c r="H159" s="9">
        <v>0.03249378424320333</v>
      </c>
      <c r="I159" s="9">
        <v>156.035</v>
      </c>
      <c r="J159" s="9">
        <v>0.0608</v>
      </c>
      <c r="K159" s="9">
        <v>155.865</v>
      </c>
      <c r="L159" s="9">
        <v>0.0032</v>
      </c>
      <c r="M159" s="8" t="s">
        <v>45</v>
      </c>
    </row>
    <row r="160">
      <c r="A160" s="9">
        <v>154.89</v>
      </c>
      <c r="B160" s="9">
        <v>155.06</v>
      </c>
      <c r="C160" s="9">
        <v>0.16</v>
      </c>
      <c r="D160" s="9">
        <v>0.01292142080000147</v>
      </c>
      <c r="E160" s="9">
        <v>12.71</v>
      </c>
      <c r="F160" s="10" t="s">
        <v>186</v>
      </c>
      <c r="G160" s="8" t="s">
        <v>19</v>
      </c>
      <c r="H160" s="9">
        <v>0.02001398867712228</v>
      </c>
      <c r="I160" s="9">
        <v>155.065</v>
      </c>
      <c r="J160" s="9">
        <v>0.0554</v>
      </c>
      <c r="K160" s="9">
        <v>154.89</v>
      </c>
      <c r="L160" s="9">
        <v>0.0</v>
      </c>
      <c r="M160" s="8" t="s">
        <v>42</v>
      </c>
    </row>
    <row r="161">
      <c r="A161" s="9">
        <v>154.72</v>
      </c>
      <c r="B161" s="9">
        <v>154.53</v>
      </c>
      <c r="C161" s="9">
        <v>0.16</v>
      </c>
      <c r="D161" s="9">
        <v>0.016145382400001296</v>
      </c>
      <c r="E161" s="9">
        <v>28.29</v>
      </c>
      <c r="F161" s="10" t="s">
        <v>187</v>
      </c>
      <c r="G161" s="8" t="s">
        <v>19</v>
      </c>
      <c r="H161" s="9">
        <v>0.024980135649282004</v>
      </c>
      <c r="I161" s="9">
        <v>154.725</v>
      </c>
      <c r="J161" s="9">
        <v>0.0609</v>
      </c>
      <c r="K161" s="9">
        <v>154.56</v>
      </c>
      <c r="L161" s="9">
        <v>0.0032</v>
      </c>
      <c r="M161" s="8" t="s">
        <v>45</v>
      </c>
    </row>
    <row r="162">
      <c r="A162" s="9">
        <v>155.05</v>
      </c>
      <c r="B162" s="9">
        <v>154.68</v>
      </c>
      <c r="C162" s="9">
        <v>0.16</v>
      </c>
      <c r="D162" s="9">
        <v>-0.07348088320000201</v>
      </c>
      <c r="E162" s="9">
        <v>149.98</v>
      </c>
      <c r="F162" s="10" t="s">
        <v>188</v>
      </c>
      <c r="G162" s="8" t="s">
        <v>96</v>
      </c>
      <c r="H162" s="9">
        <v>-0.11393210940160313</v>
      </c>
      <c r="I162" s="9">
        <v>155.125</v>
      </c>
      <c r="J162" s="9">
        <v>-0.0092</v>
      </c>
      <c r="K162" s="9">
        <v>154.705</v>
      </c>
      <c r="L162" s="9">
        <v>-0.2225</v>
      </c>
      <c r="M162" s="8" t="s">
        <v>42</v>
      </c>
    </row>
    <row r="163">
      <c r="A163" s="9">
        <v>154.26</v>
      </c>
      <c r="B163" s="9">
        <v>154.09</v>
      </c>
      <c r="C163" s="9">
        <v>0.16</v>
      </c>
      <c r="D163" s="9">
        <v>0.012987315200000182</v>
      </c>
      <c r="E163" s="9">
        <v>65.2</v>
      </c>
      <c r="F163" s="10" t="s">
        <v>189</v>
      </c>
      <c r="G163" s="8" t="s">
        <v>19</v>
      </c>
      <c r="H163" s="9">
        <v>0.020034232427520282</v>
      </c>
      <c r="I163" s="9">
        <v>154.265</v>
      </c>
      <c r="J163" s="9">
        <v>0.0609</v>
      </c>
      <c r="K163" s="9">
        <v>154.135</v>
      </c>
      <c r="L163" s="9">
        <v>0.0032</v>
      </c>
      <c r="M163" s="8" t="s">
        <v>45</v>
      </c>
    </row>
    <row r="164">
      <c r="A164" s="9">
        <v>152.82</v>
      </c>
      <c r="B164" s="9">
        <v>152.49</v>
      </c>
      <c r="C164" s="9">
        <v>0.16</v>
      </c>
      <c r="D164" s="9">
        <v>-0.06687628799999601</v>
      </c>
      <c r="E164" s="9">
        <v>34.11</v>
      </c>
      <c r="F164" s="10" t="s">
        <v>190</v>
      </c>
      <c r="G164" s="8" t="s">
        <v>96</v>
      </c>
      <c r="H164" s="9">
        <v>-0.1022003433215939</v>
      </c>
      <c r="I164" s="9">
        <v>152.915</v>
      </c>
      <c r="J164" s="9">
        <v>0.0046</v>
      </c>
      <c r="K164" s="9">
        <v>152.495</v>
      </c>
      <c r="L164" s="9">
        <v>-0.2127</v>
      </c>
      <c r="M164" s="8" t="s">
        <v>42</v>
      </c>
    </row>
    <row r="165">
      <c r="A165" s="9">
        <v>152.67</v>
      </c>
      <c r="B165" s="9">
        <v>152.24</v>
      </c>
      <c r="C165" s="9">
        <v>0.16</v>
      </c>
      <c r="D165" s="9">
        <v>-0.08286015999999563</v>
      </c>
      <c r="E165" s="9">
        <v>107.92</v>
      </c>
      <c r="F165" s="10" t="s">
        <v>191</v>
      </c>
      <c r="G165" s="8" t="s">
        <v>96</v>
      </c>
      <c r="H165" s="9">
        <v>-0.12650260627199333</v>
      </c>
      <c r="I165" s="9">
        <v>152.76</v>
      </c>
      <c r="J165" s="9">
        <v>0.0013</v>
      </c>
      <c r="K165" s="9">
        <v>152.265</v>
      </c>
      <c r="L165" s="9">
        <v>-0.2653</v>
      </c>
      <c r="M165" s="8" t="s">
        <v>42</v>
      </c>
    </row>
    <row r="166">
      <c r="A166" s="9">
        <v>151.64</v>
      </c>
      <c r="B166" s="9">
        <v>152.08</v>
      </c>
      <c r="C166" s="9">
        <v>0.16</v>
      </c>
      <c r="D166" s="9">
        <v>-0.08438527999999934</v>
      </c>
      <c r="E166" s="9">
        <v>17.77</v>
      </c>
      <c r="F166" s="10" t="s">
        <v>192</v>
      </c>
      <c r="G166" s="8" t="s">
        <v>96</v>
      </c>
      <c r="H166" s="9">
        <v>-0.127961838591999</v>
      </c>
      <c r="I166" s="9">
        <v>152.015</v>
      </c>
      <c r="J166" s="9">
        <v>0.3051</v>
      </c>
      <c r="K166" s="9">
        <v>151.64</v>
      </c>
      <c r="L166" s="9">
        <v>0.2473</v>
      </c>
      <c r="M166" s="8" t="s">
        <v>45</v>
      </c>
    </row>
    <row r="167">
      <c r="A167" s="9">
        <v>152.8</v>
      </c>
      <c r="B167" s="9">
        <v>152.62</v>
      </c>
      <c r="C167" s="9">
        <v>0.16</v>
      </c>
      <c r="D167" s="9">
        <v>0.014722099200003669</v>
      </c>
      <c r="E167" s="9">
        <v>17.9</v>
      </c>
      <c r="F167" s="10" t="s">
        <v>193</v>
      </c>
      <c r="G167" s="8" t="s">
        <v>19</v>
      </c>
      <c r="H167" s="9">
        <v>0.022495367577605608</v>
      </c>
      <c r="I167" s="9">
        <v>152.825</v>
      </c>
      <c r="J167" s="9">
        <v>0.074</v>
      </c>
      <c r="K167" s="9">
        <v>152.64</v>
      </c>
      <c r="L167" s="9">
        <v>0.0164</v>
      </c>
      <c r="M167" s="8" t="s">
        <v>45</v>
      </c>
    </row>
    <row r="168">
      <c r="A168" s="9">
        <v>151.89</v>
      </c>
      <c r="B168" s="9">
        <v>151.55</v>
      </c>
      <c r="C168" s="9">
        <v>0.16</v>
      </c>
      <c r="D168" s="9">
        <v>-0.06839034880000128</v>
      </c>
      <c r="E168" s="9">
        <v>38.84</v>
      </c>
      <c r="F168" s="10" t="s">
        <v>194</v>
      </c>
      <c r="G168" s="8" t="s">
        <v>96</v>
      </c>
      <c r="H168" s="9">
        <v>-0.10387810079232193</v>
      </c>
      <c r="I168" s="9">
        <v>151.89</v>
      </c>
      <c r="J168" s="9">
        <v>-0.0576</v>
      </c>
      <c r="K168" s="9">
        <v>151.545</v>
      </c>
      <c r="L168" s="9">
        <v>-0.2271</v>
      </c>
      <c r="M168" s="8" t="s">
        <v>42</v>
      </c>
    </row>
    <row r="169">
      <c r="A169" s="9">
        <v>152.02</v>
      </c>
      <c r="B169" s="9">
        <v>152.21</v>
      </c>
      <c r="C169" s="9">
        <v>0.16</v>
      </c>
      <c r="D169" s="9">
        <v>0.016385459199998564</v>
      </c>
      <c r="E169" s="9">
        <v>12.93</v>
      </c>
      <c r="F169" s="10" t="s">
        <v>195</v>
      </c>
      <c r="G169" s="8" t="s">
        <v>19</v>
      </c>
      <c r="H169" s="9">
        <v>0.024909175075837817</v>
      </c>
      <c r="I169" s="9">
        <v>152.215</v>
      </c>
      <c r="J169" s="9">
        <v>0.0706</v>
      </c>
      <c r="K169" s="9">
        <v>151.975</v>
      </c>
      <c r="L169" s="9">
        <v>-0.0296</v>
      </c>
      <c r="M169" s="8" t="s">
        <v>42</v>
      </c>
    </row>
    <row r="170">
      <c r="A170" s="9">
        <v>151.91</v>
      </c>
      <c r="B170" s="9">
        <v>151.74</v>
      </c>
      <c r="C170" s="9">
        <v>0.16</v>
      </c>
      <c r="D170" s="9">
        <v>0.013203891199999873</v>
      </c>
      <c r="E170" s="9">
        <v>17.71</v>
      </c>
      <c r="F170" s="10" t="s">
        <v>196</v>
      </c>
      <c r="G170" s="8" t="s">
        <v>19</v>
      </c>
      <c r="H170" s="9">
        <v>0.020058031121919805</v>
      </c>
      <c r="I170" s="9">
        <v>151.915</v>
      </c>
      <c r="J170" s="9">
        <v>0.0609</v>
      </c>
      <c r="K170" s="9">
        <v>151.765</v>
      </c>
      <c r="L170" s="9">
        <v>0.0033</v>
      </c>
      <c r="M170" s="8" t="s">
        <v>45</v>
      </c>
    </row>
    <row r="171">
      <c r="A171" s="9">
        <v>152.71</v>
      </c>
      <c r="B171" s="9">
        <v>152.88</v>
      </c>
      <c r="C171" s="9">
        <v>0.16</v>
      </c>
      <c r="D171" s="9">
        <v>0.013122329599994487</v>
      </c>
      <c r="E171" s="9">
        <v>249.7</v>
      </c>
      <c r="F171" s="10" t="s">
        <v>197</v>
      </c>
      <c r="G171" s="8" t="s">
        <v>19</v>
      </c>
      <c r="H171" s="9">
        <v>0.020039109532151583</v>
      </c>
      <c r="I171" s="9">
        <v>152.855</v>
      </c>
      <c r="J171" s="9">
        <v>0.0373</v>
      </c>
      <c r="K171" s="9">
        <v>152.495</v>
      </c>
      <c r="L171" s="9">
        <v>-0.1408</v>
      </c>
      <c r="M171" s="8" t="s">
        <v>42</v>
      </c>
    </row>
    <row r="172">
      <c r="A172" s="9">
        <v>151.78</v>
      </c>
      <c r="B172" s="9">
        <v>152.06</v>
      </c>
      <c r="C172" s="9">
        <v>0.16</v>
      </c>
      <c r="D172" s="9">
        <v>-0.05879449599999731</v>
      </c>
      <c r="E172" s="9">
        <v>60.72</v>
      </c>
      <c r="F172" s="10" t="s">
        <v>198</v>
      </c>
      <c r="G172" s="8" t="s">
        <v>96</v>
      </c>
      <c r="H172" s="9">
        <v>-0.08923828602879592</v>
      </c>
      <c r="I172" s="9">
        <v>152.195</v>
      </c>
      <c r="J172" s="9">
        <v>0.3312</v>
      </c>
      <c r="K172" s="9">
        <v>151.705</v>
      </c>
      <c r="L172" s="9">
        <v>0.2734</v>
      </c>
      <c r="M172" s="8" t="s">
        <v>45</v>
      </c>
    </row>
    <row r="173">
      <c r="A173" s="9">
        <v>152.29</v>
      </c>
      <c r="B173" s="9">
        <v>152.47</v>
      </c>
      <c r="C173" s="9">
        <v>0.16</v>
      </c>
      <c r="D173" s="9">
        <v>0.014760806399998216</v>
      </c>
      <c r="E173" s="9">
        <v>91.86</v>
      </c>
      <c r="F173" s="10" t="s">
        <v>199</v>
      </c>
      <c r="G173" s="8" t="s">
        <v>19</v>
      </c>
      <c r="H173" s="9">
        <v>0.022479232066557282</v>
      </c>
      <c r="I173" s="9">
        <v>152.515</v>
      </c>
      <c r="J173" s="9">
        <v>0.0901</v>
      </c>
      <c r="K173" s="9">
        <v>152.195</v>
      </c>
      <c r="L173" s="9">
        <v>-0.0624</v>
      </c>
      <c r="M173" s="8" t="s">
        <v>42</v>
      </c>
    </row>
    <row r="174">
      <c r="A174" s="9">
        <v>151.76</v>
      </c>
      <c r="B174" s="9">
        <v>152.07</v>
      </c>
      <c r="C174" s="9">
        <v>0.16</v>
      </c>
      <c r="D174" s="9">
        <v>-0.06359334400000094</v>
      </c>
      <c r="E174" s="9">
        <v>65.06</v>
      </c>
      <c r="F174" s="10" t="s">
        <v>200</v>
      </c>
      <c r="G174" s="8" t="s">
        <v>96</v>
      </c>
      <c r="H174" s="9">
        <v>-0.09650925885440141</v>
      </c>
      <c r="I174" s="9">
        <v>152.065</v>
      </c>
      <c r="J174" s="9">
        <v>0.2587</v>
      </c>
      <c r="K174" s="9">
        <v>151.665</v>
      </c>
      <c r="L174" s="9">
        <v>0.201</v>
      </c>
      <c r="M174" s="8" t="s">
        <v>45</v>
      </c>
    </row>
    <row r="175">
      <c r="A175" s="9">
        <v>151.11</v>
      </c>
      <c r="B175" s="9">
        <v>151.43</v>
      </c>
      <c r="C175" s="9">
        <v>0.16</v>
      </c>
      <c r="D175" s="9">
        <v>0.03726632960000131</v>
      </c>
      <c r="E175" s="9">
        <v>8.73</v>
      </c>
      <c r="F175" s="10" t="s">
        <v>201</v>
      </c>
      <c r="G175" s="8" t="s">
        <v>19</v>
      </c>
      <c r="H175" s="9">
        <v>0.05631315065856199</v>
      </c>
      <c r="I175" s="9">
        <v>151.25</v>
      </c>
      <c r="J175" s="9">
        <v>0.035</v>
      </c>
      <c r="K175" s="9">
        <v>151.085</v>
      </c>
      <c r="L175" s="9">
        <v>-0.0165</v>
      </c>
      <c r="M175" s="8" t="s">
        <v>42</v>
      </c>
    </row>
    <row r="176">
      <c r="A176" s="9">
        <v>154.73</v>
      </c>
      <c r="B176" s="9">
        <v>154.66</v>
      </c>
      <c r="C176" s="9">
        <v>0.16</v>
      </c>
      <c r="D176" s="9">
        <v>-0.003058303999999623</v>
      </c>
      <c r="E176" s="9">
        <v>7.25</v>
      </c>
      <c r="F176" s="10" t="s">
        <v>202</v>
      </c>
      <c r="G176" s="8" t="s">
        <v>19</v>
      </c>
      <c r="H176" s="9">
        <v>-0.004732113779199416</v>
      </c>
      <c r="I176" s="9">
        <v>154.735</v>
      </c>
      <c r="J176" s="9">
        <v>0.0609</v>
      </c>
      <c r="K176" s="9">
        <v>154.595</v>
      </c>
      <c r="L176" s="9">
        <v>0.0032</v>
      </c>
      <c r="M176" s="8" t="s">
        <v>45</v>
      </c>
    </row>
    <row r="177">
      <c r="A177" s="9">
        <v>155.87</v>
      </c>
      <c r="B177" s="9">
        <v>156.06</v>
      </c>
      <c r="C177" s="9">
        <v>0.16</v>
      </c>
      <c r="D177" s="9">
        <v>0.01603064319999703</v>
      </c>
      <c r="E177" s="9">
        <v>13.13</v>
      </c>
      <c r="F177" s="10" t="s">
        <v>203</v>
      </c>
      <c r="G177" s="8" t="s">
        <v>19</v>
      </c>
      <c r="H177" s="9">
        <v>0.02498696355583537</v>
      </c>
      <c r="I177" s="9">
        <v>156.105</v>
      </c>
      <c r="J177" s="9">
        <v>0.0931</v>
      </c>
      <c r="K177" s="9">
        <v>155.865</v>
      </c>
      <c r="L177" s="9">
        <v>-0.0032</v>
      </c>
      <c r="M177" s="8" t="s">
        <v>42</v>
      </c>
    </row>
    <row r="178">
      <c r="A178" s="9">
        <v>156.71</v>
      </c>
      <c r="B178" s="9">
        <v>157.06</v>
      </c>
      <c r="C178" s="9">
        <v>0.16</v>
      </c>
      <c r="D178" s="9">
        <v>-0.07045045759999624</v>
      </c>
      <c r="E178" s="9">
        <v>140.22</v>
      </c>
      <c r="F178" s="10" t="s">
        <v>204</v>
      </c>
      <c r="G178" s="8" t="s">
        <v>96</v>
      </c>
      <c r="H178" s="9">
        <v>-0.11040291210495412</v>
      </c>
      <c r="I178" s="9">
        <v>157.025</v>
      </c>
      <c r="J178" s="9">
        <v>0.2588</v>
      </c>
      <c r="K178" s="9">
        <v>156.695</v>
      </c>
      <c r="L178" s="9">
        <v>0.201</v>
      </c>
      <c r="M178" s="8" t="s">
        <v>45</v>
      </c>
    </row>
    <row r="179">
      <c r="A179" s="9">
        <v>156.52</v>
      </c>
      <c r="B179" s="9">
        <v>156.38</v>
      </c>
      <c r="C179" s="9">
        <v>0.16</v>
      </c>
      <c r="D179" s="9">
        <v>0.007978342400004834</v>
      </c>
      <c r="E179" s="9">
        <v>28.94</v>
      </c>
      <c r="F179" s="10" t="s">
        <v>205</v>
      </c>
      <c r="G179" s="8" t="s">
        <v>19</v>
      </c>
      <c r="H179" s="9">
        <v>0.012487701524487568</v>
      </c>
      <c r="I179" s="9">
        <v>156.545</v>
      </c>
      <c r="J179" s="9">
        <v>0.0736</v>
      </c>
      <c r="K179" s="9">
        <v>156.375</v>
      </c>
      <c r="L179" s="9">
        <v>0.016</v>
      </c>
      <c r="M179" s="8" t="s">
        <v>45</v>
      </c>
    </row>
    <row r="180">
      <c r="A180" s="9">
        <v>156.43</v>
      </c>
      <c r="B180" s="9">
        <v>156.84</v>
      </c>
      <c r="C180" s="9">
        <v>0.16</v>
      </c>
      <c r="D180" s="9">
        <v>-0.08002603519999596</v>
      </c>
      <c r="E180" s="9">
        <v>23.51</v>
      </c>
      <c r="F180" s="10" t="s">
        <v>206</v>
      </c>
      <c r="G180" s="8" t="s">
        <v>96</v>
      </c>
      <c r="H180" s="9">
        <v>-0.1251847268633537</v>
      </c>
      <c r="I180" s="9">
        <v>156.805</v>
      </c>
      <c r="J180" s="9">
        <v>0.2975</v>
      </c>
      <c r="K180" s="9">
        <v>156.43</v>
      </c>
      <c r="L180" s="9">
        <v>0.2397</v>
      </c>
      <c r="M180" s="8" t="s">
        <v>45</v>
      </c>
    </row>
    <row r="181">
      <c r="A181" s="9">
        <v>157.58</v>
      </c>
      <c r="B181" s="9">
        <v>157.8</v>
      </c>
      <c r="C181" s="9">
        <v>0.149</v>
      </c>
      <c r="D181" s="9">
        <v>0.01925113375999743</v>
      </c>
      <c r="E181" s="9">
        <v>7.48</v>
      </c>
      <c r="F181" s="10" t="s">
        <v>207</v>
      </c>
      <c r="G181" s="8" t="s">
        <v>19</v>
      </c>
      <c r="H181" s="9">
        <v>0.03033593657900395</v>
      </c>
      <c r="I181" s="9">
        <v>157.8</v>
      </c>
      <c r="J181" s="9">
        <v>0.082</v>
      </c>
      <c r="K181" s="9">
        <v>157.575</v>
      </c>
      <c r="L181" s="9">
        <v>-0.0032</v>
      </c>
      <c r="M181" s="8" t="s">
        <v>42</v>
      </c>
    </row>
    <row r="182">
      <c r="A182" s="9">
        <v>161.01</v>
      </c>
      <c r="B182" s="9">
        <v>161.45</v>
      </c>
      <c r="C182" s="9">
        <v>0.149</v>
      </c>
      <c r="D182" s="9">
        <v>-0.0793879628799985</v>
      </c>
      <c r="E182" s="9">
        <v>70.43</v>
      </c>
      <c r="F182" s="10" t="s">
        <v>208</v>
      </c>
      <c r="G182" s="8" t="s">
        <v>96</v>
      </c>
      <c r="H182" s="9">
        <v>-0.12782255903308556</v>
      </c>
      <c r="I182" s="9">
        <v>161.425</v>
      </c>
      <c r="J182" s="9">
        <v>0.3155</v>
      </c>
      <c r="K182" s="9">
        <v>160.915</v>
      </c>
      <c r="L182" s="9">
        <v>0.2577</v>
      </c>
      <c r="M182" s="8" t="s">
        <v>45</v>
      </c>
    </row>
    <row r="183">
      <c r="A183" s="9">
        <v>162.44</v>
      </c>
      <c r="B183" s="9">
        <v>162.04</v>
      </c>
      <c r="C183" s="9">
        <v>0.149</v>
      </c>
      <c r="D183" s="9">
        <v>-0.07353266816000215</v>
      </c>
      <c r="E183" s="9">
        <v>39.28</v>
      </c>
      <c r="F183" s="10" t="s">
        <v>209</v>
      </c>
      <c r="G183" s="8" t="s">
        <v>96</v>
      </c>
      <c r="H183" s="9">
        <v>-0.11944646615910749</v>
      </c>
      <c r="I183" s="9">
        <v>162.495</v>
      </c>
      <c r="J183" s="9">
        <v>-0.0237</v>
      </c>
      <c r="K183" s="9">
        <v>162.105</v>
      </c>
      <c r="L183" s="9">
        <v>-0.2062</v>
      </c>
      <c r="M183" s="8" t="s">
        <v>42</v>
      </c>
    </row>
    <row r="184">
      <c r="A184" s="9">
        <v>161.53</v>
      </c>
      <c r="B184" s="9">
        <v>161.85</v>
      </c>
      <c r="C184" s="9">
        <v>0.149</v>
      </c>
      <c r="D184" s="9">
        <v>-0.06155001663999826</v>
      </c>
      <c r="E184" s="9">
        <v>133.89</v>
      </c>
      <c r="F184" s="10" t="s">
        <v>210</v>
      </c>
      <c r="G184" s="8" t="s">
        <v>96</v>
      </c>
      <c r="H184" s="9">
        <v>-0.0994217418785892</v>
      </c>
      <c r="I184" s="9">
        <v>161.855</v>
      </c>
      <c r="J184" s="9">
        <v>0.259</v>
      </c>
      <c r="K184" s="9">
        <v>161.465</v>
      </c>
      <c r="L184" s="9">
        <v>0.2012</v>
      </c>
      <c r="M184" s="8" t="s">
        <v>45</v>
      </c>
    </row>
    <row r="185">
      <c r="A185" s="9">
        <v>162.53</v>
      </c>
      <c r="B185" s="9">
        <v>162.69</v>
      </c>
      <c r="C185" s="9">
        <v>0.149</v>
      </c>
      <c r="D185" s="9">
        <v>0.009887592319998362</v>
      </c>
      <c r="E185" s="9">
        <v>54.87</v>
      </c>
      <c r="F185" s="10" t="s">
        <v>211</v>
      </c>
      <c r="G185" s="8" t="s">
        <v>19</v>
      </c>
      <c r="H185" s="9">
        <v>0.016070303797693336</v>
      </c>
      <c r="I185" s="9">
        <v>162.705</v>
      </c>
      <c r="J185" s="9">
        <v>0.05</v>
      </c>
      <c r="K185" s="9">
        <v>162.485</v>
      </c>
      <c r="L185" s="9">
        <v>-0.0277</v>
      </c>
      <c r="M185" s="8" t="s">
        <v>42</v>
      </c>
    </row>
    <row r="186">
      <c r="A186" s="9">
        <v>163.32</v>
      </c>
      <c r="B186" s="9">
        <v>163.66</v>
      </c>
      <c r="C186" s="9">
        <v>0.149</v>
      </c>
      <c r="D186" s="9">
        <v>-0.06468407071999849</v>
      </c>
      <c r="E186" s="9">
        <v>150.36</v>
      </c>
      <c r="F186" s="10" t="s">
        <v>212</v>
      </c>
      <c r="G186" s="8" t="s">
        <v>96</v>
      </c>
      <c r="H186" s="9">
        <v>-0.10564202429990154</v>
      </c>
      <c r="I186" s="9">
        <v>163.66</v>
      </c>
      <c r="J186" s="9">
        <v>0.2659</v>
      </c>
      <c r="K186" s="9">
        <v>163.195</v>
      </c>
      <c r="L186" s="9">
        <v>0.2082</v>
      </c>
      <c r="M186" s="8" t="s">
        <v>45</v>
      </c>
    </row>
    <row r="187">
      <c r="A187" s="9">
        <v>164.22</v>
      </c>
      <c r="B187" s="9">
        <v>163.8</v>
      </c>
      <c r="C187" s="9">
        <v>0.149</v>
      </c>
      <c r="D187" s="9">
        <v>-0.0766650057599989</v>
      </c>
      <c r="E187" s="9">
        <v>145.52</v>
      </c>
      <c r="F187" s="10" t="s">
        <v>213</v>
      </c>
      <c r="G187" s="8" t="s">
        <v>96</v>
      </c>
      <c r="H187" s="9">
        <v>-0.1258992724590702</v>
      </c>
      <c r="I187" s="9">
        <v>164.265</v>
      </c>
      <c r="J187" s="9">
        <v>-0.0302</v>
      </c>
      <c r="K187" s="9">
        <v>163.845</v>
      </c>
      <c r="L187" s="9">
        <v>-0.2284</v>
      </c>
      <c r="M187" s="8" t="s">
        <v>42</v>
      </c>
    </row>
    <row r="188">
      <c r="A188" s="9">
        <v>163.14</v>
      </c>
      <c r="B188" s="9">
        <v>163.37</v>
      </c>
      <c r="C188" s="9">
        <v>0.149</v>
      </c>
      <c r="D188" s="9">
        <v>0.020263737760000566</v>
      </c>
      <c r="E188" s="9">
        <v>49.75</v>
      </c>
      <c r="F188" s="10" t="s">
        <v>214</v>
      </c>
      <c r="G188" s="8" t="s">
        <v>19</v>
      </c>
      <c r="H188" s="9">
        <v>0.033058261781664926</v>
      </c>
      <c r="I188" s="9">
        <v>163.275</v>
      </c>
      <c r="J188" s="9">
        <v>0.0251</v>
      </c>
      <c r="K188" s="9">
        <v>163.135</v>
      </c>
      <c r="L188" s="9">
        <v>-0.0031</v>
      </c>
      <c r="M188" s="8" t="s">
        <v>42</v>
      </c>
    </row>
    <row r="189">
      <c r="A189" s="9">
        <v>162.89</v>
      </c>
      <c r="B189" s="9">
        <v>162.78</v>
      </c>
      <c r="C189" s="9">
        <v>0.149</v>
      </c>
      <c r="D189" s="9">
        <v>0.0024124888000010003</v>
      </c>
      <c r="E189" s="9">
        <v>8.05</v>
      </c>
      <c r="F189" s="10" t="s">
        <v>215</v>
      </c>
      <c r="G189" s="8" t="s">
        <v>19</v>
      </c>
      <c r="H189" s="9">
        <v>0.003929703006321629</v>
      </c>
      <c r="I189" s="9">
        <v>162.895</v>
      </c>
      <c r="J189" s="9">
        <v>0.0607</v>
      </c>
      <c r="K189" s="9">
        <v>162.705</v>
      </c>
      <c r="L189" s="9">
        <v>0.0031</v>
      </c>
      <c r="M189" s="8" t="s">
        <v>45</v>
      </c>
    </row>
    <row r="190">
      <c r="A190" s="9">
        <v>163.51</v>
      </c>
      <c r="B190" s="9">
        <v>163.17</v>
      </c>
      <c r="C190" s="9">
        <v>0.149</v>
      </c>
      <c r="D190" s="9">
        <v>-0.06468578720000195</v>
      </c>
      <c r="E190" s="9">
        <v>107.86</v>
      </c>
      <c r="F190" s="10" t="s">
        <v>216</v>
      </c>
      <c r="G190" s="8" t="s">
        <v>96</v>
      </c>
      <c r="H190" s="9">
        <v>-0.1057677306507232</v>
      </c>
      <c r="I190" s="9">
        <v>163.525</v>
      </c>
      <c r="J190" s="9">
        <v>-0.0484</v>
      </c>
      <c r="K190" s="9">
        <v>163.18</v>
      </c>
      <c r="L190" s="9">
        <v>-0.2018</v>
      </c>
      <c r="M190" s="8" t="s">
        <v>42</v>
      </c>
    </row>
    <row r="191">
      <c r="A191" s="9">
        <v>163.1</v>
      </c>
      <c r="B191" s="9">
        <v>162.93</v>
      </c>
      <c r="C191" s="9">
        <v>0.149</v>
      </c>
      <c r="D191" s="9">
        <v>0.011335753120000902</v>
      </c>
      <c r="E191" s="9">
        <v>13.26</v>
      </c>
      <c r="F191" s="10" t="s">
        <v>217</v>
      </c>
      <c r="G191" s="8" t="s">
        <v>19</v>
      </c>
      <c r="H191" s="9">
        <v>0.018488613338721472</v>
      </c>
      <c r="I191" s="9">
        <v>163.115</v>
      </c>
      <c r="J191" s="9">
        <v>0.0668</v>
      </c>
      <c r="K191" s="9">
        <v>162.935</v>
      </c>
      <c r="L191" s="9">
        <v>0.0092</v>
      </c>
      <c r="M191" s="8" t="s">
        <v>45</v>
      </c>
    </row>
    <row r="192">
      <c r="A192" s="9">
        <v>163.52</v>
      </c>
      <c r="B192" s="9">
        <v>163.13</v>
      </c>
      <c r="C192" s="9">
        <v>0.149</v>
      </c>
      <c r="D192" s="9">
        <v>-0.07213557264000414</v>
      </c>
      <c r="E192" s="9">
        <v>197.18</v>
      </c>
      <c r="F192" s="10" t="s">
        <v>218</v>
      </c>
      <c r="G192" s="8" t="s">
        <v>96</v>
      </c>
      <c r="H192" s="9">
        <v>-0.11795608838093478</v>
      </c>
      <c r="I192" s="9">
        <v>163.535</v>
      </c>
      <c r="J192" s="9">
        <v>-0.0484</v>
      </c>
      <c r="K192" s="9">
        <v>163.175</v>
      </c>
      <c r="L192" s="9">
        <v>-0.211</v>
      </c>
      <c r="M192" s="8" t="s">
        <v>42</v>
      </c>
    </row>
    <row r="193">
      <c r="A193" s="9">
        <v>162.46</v>
      </c>
      <c r="B193" s="9">
        <v>162.04</v>
      </c>
      <c r="C193" s="9">
        <v>0.149</v>
      </c>
      <c r="D193" s="9">
        <v>-0.07651395552000295</v>
      </c>
      <c r="E193" s="9">
        <v>559.36</v>
      </c>
      <c r="F193" s="10" t="s">
        <v>219</v>
      </c>
      <c r="G193" s="8" t="s">
        <v>96</v>
      </c>
      <c r="H193" s="9">
        <v>-0.1243045721377968</v>
      </c>
      <c r="I193" s="9">
        <v>162.475</v>
      </c>
      <c r="J193" s="9">
        <v>-0.0483</v>
      </c>
      <c r="K193" s="9">
        <v>162.045</v>
      </c>
      <c r="L193" s="9">
        <v>-0.2554</v>
      </c>
      <c r="M193" s="8" t="s">
        <v>42</v>
      </c>
    </row>
    <row r="194">
      <c r="A194" s="9">
        <v>162.07</v>
      </c>
      <c r="B194" s="9">
        <v>161.76</v>
      </c>
      <c r="C194" s="9">
        <v>0.149</v>
      </c>
      <c r="D194" s="9">
        <v>-0.06009284431999973</v>
      </c>
      <c r="E194" s="9">
        <v>76.19</v>
      </c>
      <c r="F194" s="10" t="s">
        <v>220</v>
      </c>
      <c r="G194" s="8" t="s">
        <v>96</v>
      </c>
      <c r="H194" s="9">
        <v>-0.09739247278942356</v>
      </c>
      <c r="I194" s="9">
        <v>162.07</v>
      </c>
      <c r="J194" s="9">
        <v>-0.0576</v>
      </c>
      <c r="K194" s="9">
        <v>161.745</v>
      </c>
      <c r="L194" s="9">
        <v>-0.2005</v>
      </c>
      <c r="M194" s="8" t="s">
        <v>42</v>
      </c>
    </row>
    <row r="195">
      <c r="A195" s="9">
        <v>162.06</v>
      </c>
      <c r="B195" s="9">
        <v>162.22</v>
      </c>
      <c r="C195" s="9">
        <v>0.149</v>
      </c>
      <c r="D195" s="9">
        <v>0.00992792959999278</v>
      </c>
      <c r="E195" s="9">
        <v>39.01</v>
      </c>
      <c r="F195" s="10" t="s">
        <v>221</v>
      </c>
      <c r="G195" s="8" t="s">
        <v>19</v>
      </c>
      <c r="H195" s="9">
        <v>0.0160892027097483</v>
      </c>
      <c r="I195" s="9">
        <v>162.215</v>
      </c>
      <c r="J195" s="9">
        <v>0.038</v>
      </c>
      <c r="K195" s="9">
        <v>162.055</v>
      </c>
      <c r="L195" s="9">
        <v>-0.0031</v>
      </c>
      <c r="M195" s="8" t="s">
        <v>42</v>
      </c>
    </row>
    <row r="196">
      <c r="A196" s="9">
        <v>161.62</v>
      </c>
      <c r="B196" s="9">
        <v>161.47</v>
      </c>
      <c r="C196" s="9">
        <v>0.149</v>
      </c>
      <c r="D196" s="9">
        <v>0.008482343520000768</v>
      </c>
      <c r="E196" s="9">
        <v>164.87</v>
      </c>
      <c r="F196" s="10" t="s">
        <v>222</v>
      </c>
      <c r="G196" s="8" t="s">
        <v>19</v>
      </c>
      <c r="H196" s="9">
        <v>0.013709163597025242</v>
      </c>
      <c r="I196" s="9">
        <v>161.705</v>
      </c>
      <c r="J196" s="9">
        <v>0.1103</v>
      </c>
      <c r="K196" s="9">
        <v>161.465</v>
      </c>
      <c r="L196" s="9">
        <v>0.0526</v>
      </c>
      <c r="M196" s="8" t="s">
        <v>45</v>
      </c>
    </row>
    <row r="197">
      <c r="A197" s="9">
        <v>161.28</v>
      </c>
      <c r="B197" s="9">
        <v>161.41</v>
      </c>
      <c r="C197" s="9">
        <v>0.149</v>
      </c>
      <c r="D197" s="9">
        <v>0.005525515999998731</v>
      </c>
      <c r="E197" s="9">
        <v>169.8</v>
      </c>
      <c r="F197" s="10" t="s">
        <v>223</v>
      </c>
      <c r="G197" s="8" t="s">
        <v>19</v>
      </c>
      <c r="H197" s="9">
        <v>0.008911552204797954</v>
      </c>
      <c r="I197" s="9">
        <v>161.435</v>
      </c>
      <c r="J197" s="9">
        <v>0.0385</v>
      </c>
      <c r="K197" s="9">
        <v>161.125</v>
      </c>
      <c r="L197" s="9">
        <v>-0.0961</v>
      </c>
      <c r="M197" s="8" t="s">
        <v>42</v>
      </c>
    </row>
    <row r="198">
      <c r="A198" s="9">
        <v>161.63</v>
      </c>
      <c r="B198" s="9">
        <v>161.5</v>
      </c>
      <c r="C198" s="9">
        <v>0.149</v>
      </c>
      <c r="D198" s="9">
        <v>0.005501056160003515</v>
      </c>
      <c r="E198" s="9">
        <v>64.86</v>
      </c>
      <c r="F198" s="10" t="s">
        <v>224</v>
      </c>
      <c r="G198" s="8" t="s">
        <v>19</v>
      </c>
      <c r="H198" s="9">
        <v>0.00889135707141368</v>
      </c>
      <c r="I198" s="9">
        <v>161.745</v>
      </c>
      <c r="J198" s="9">
        <v>0.1288</v>
      </c>
      <c r="K198" s="9">
        <v>161.495</v>
      </c>
      <c r="L198" s="9">
        <v>0.0712</v>
      </c>
      <c r="M198" s="8" t="s">
        <v>45</v>
      </c>
    </row>
    <row r="199">
      <c r="A199" s="9">
        <v>161.67</v>
      </c>
      <c r="B199" s="9">
        <v>161.83</v>
      </c>
      <c r="C199" s="9">
        <v>0.149</v>
      </c>
      <c r="D199" s="9">
        <v>0.009961400960005307</v>
      </c>
      <c r="E199" s="9">
        <v>54.74</v>
      </c>
      <c r="F199" s="10" t="s">
        <v>225</v>
      </c>
      <c r="G199" s="8" t="s">
        <v>19</v>
      </c>
      <c r="H199" s="9">
        <v>0.01610459693204058</v>
      </c>
      <c r="I199" s="9">
        <v>161.82</v>
      </c>
      <c r="J199" s="9">
        <v>0.0352</v>
      </c>
      <c r="K199" s="9">
        <v>161.52</v>
      </c>
      <c r="L199" s="9">
        <v>-0.0928</v>
      </c>
      <c r="M199" s="8" t="s">
        <v>42</v>
      </c>
    </row>
    <row r="200">
      <c r="A200" s="9">
        <v>161.77</v>
      </c>
      <c r="B200" s="9">
        <v>161.63</v>
      </c>
      <c r="C200" s="9">
        <v>0.149</v>
      </c>
      <c r="D200" s="9">
        <v>0.006979255360000991</v>
      </c>
      <c r="E200" s="9">
        <v>113.2</v>
      </c>
      <c r="F200" s="10" t="s">
        <v>226</v>
      </c>
      <c r="G200" s="8" t="s">
        <v>19</v>
      </c>
      <c r="H200" s="9">
        <v>0.011290341395873604</v>
      </c>
      <c r="I200" s="9">
        <v>161.785</v>
      </c>
      <c r="J200" s="9">
        <v>0.0669</v>
      </c>
      <c r="K200" s="9">
        <v>161.635</v>
      </c>
      <c r="L200" s="9">
        <v>0.0093</v>
      </c>
      <c r="M200" s="8" t="s">
        <v>45</v>
      </c>
    </row>
    <row r="201">
      <c r="A201" s="9">
        <v>161.66</v>
      </c>
      <c r="B201" s="9">
        <v>161.55</v>
      </c>
      <c r="C201" s="9">
        <v>0.149</v>
      </c>
      <c r="D201" s="9">
        <v>0.002518052319999242</v>
      </c>
      <c r="E201" s="9">
        <v>222.89</v>
      </c>
      <c r="F201" s="10" t="s">
        <v>227</v>
      </c>
      <c r="G201" s="8" t="s">
        <v>19</v>
      </c>
      <c r="H201" s="9">
        <v>0.004070683380510775</v>
      </c>
      <c r="I201" s="9">
        <v>161.765</v>
      </c>
      <c r="J201" s="9">
        <v>0.1226</v>
      </c>
      <c r="K201" s="9">
        <v>161.525</v>
      </c>
      <c r="L201" s="9">
        <v>0.065</v>
      </c>
      <c r="M201" s="8" t="s">
        <v>45</v>
      </c>
    </row>
    <row r="202">
      <c r="A202" s="9">
        <v>162.22</v>
      </c>
      <c r="B202" s="9">
        <v>162.35</v>
      </c>
      <c r="C202" s="9">
        <v>0.149</v>
      </c>
      <c r="D202" s="9">
        <v>0.005444841439999237</v>
      </c>
      <c r="E202" s="9">
        <v>155.19</v>
      </c>
      <c r="F202" s="10" t="s">
        <v>228</v>
      </c>
      <c r="G202" s="8" t="s">
        <v>19</v>
      </c>
      <c r="H202" s="9">
        <v>0.008832621783966764</v>
      </c>
      <c r="I202" s="9">
        <v>162.355</v>
      </c>
      <c r="J202" s="9">
        <v>0.0256</v>
      </c>
      <c r="K202" s="9">
        <v>162.075</v>
      </c>
      <c r="L202" s="9">
        <v>-0.0894</v>
      </c>
      <c r="M202" s="8" t="s">
        <v>42</v>
      </c>
    </row>
    <row r="203">
      <c r="A203" s="9">
        <v>163.52</v>
      </c>
      <c r="B203" s="9">
        <v>163.45</v>
      </c>
      <c r="C203" s="9">
        <v>0.149</v>
      </c>
      <c r="D203" s="9">
        <v>-0.0036024385599944253</v>
      </c>
      <c r="E203" s="9">
        <v>17.72</v>
      </c>
      <c r="F203" s="10" t="s">
        <v>229</v>
      </c>
      <c r="G203" s="8" t="s">
        <v>19</v>
      </c>
      <c r="H203" s="9">
        <v>-0.005890707533302885</v>
      </c>
      <c r="I203" s="9">
        <v>163.525</v>
      </c>
      <c r="J203" s="9">
        <v>0.0607</v>
      </c>
      <c r="K203" s="9">
        <v>163.365</v>
      </c>
      <c r="L203" s="9">
        <v>0.0031</v>
      </c>
      <c r="M203" s="8" t="s">
        <v>45</v>
      </c>
    </row>
    <row r="204">
      <c r="A204" s="9">
        <v>164.08</v>
      </c>
      <c r="B204" s="9">
        <v>164.41</v>
      </c>
      <c r="C204" s="9">
        <v>0.14</v>
      </c>
      <c r="D204" s="9">
        <v>0.03296193599999597</v>
      </c>
      <c r="E204" s="9">
        <v>66.14</v>
      </c>
      <c r="F204" s="10" t="s">
        <v>230</v>
      </c>
      <c r="G204" s="8" t="s">
        <v>19</v>
      </c>
      <c r="H204" s="9">
        <v>0.05408394458879339</v>
      </c>
      <c r="I204" s="9">
        <v>164.255</v>
      </c>
      <c r="J204" s="9">
        <v>0.049</v>
      </c>
      <c r="K204" s="9">
        <v>163.935</v>
      </c>
      <c r="L204" s="9">
        <v>-0.0884</v>
      </c>
      <c r="M204" s="8" t="s">
        <v>42</v>
      </c>
    </row>
    <row r="205">
      <c r="A205" s="9">
        <v>163.96</v>
      </c>
      <c r="B205" s="9">
        <v>164.29</v>
      </c>
      <c r="C205" s="9">
        <v>0.149</v>
      </c>
      <c r="D205" s="9">
        <v>-0.06324878351999175</v>
      </c>
      <c r="E205" s="9">
        <v>312.82</v>
      </c>
      <c r="F205" s="10" t="s">
        <v>231</v>
      </c>
      <c r="G205" s="8" t="s">
        <v>96</v>
      </c>
      <c r="H205" s="9">
        <v>-0.10370270545937849</v>
      </c>
      <c r="I205" s="9">
        <v>164.295</v>
      </c>
      <c r="J205" s="9">
        <v>0.2621</v>
      </c>
      <c r="K205" s="9">
        <v>163.885</v>
      </c>
      <c r="L205" s="9">
        <v>0.2043</v>
      </c>
      <c r="M205" s="8" t="s">
        <v>45</v>
      </c>
    </row>
    <row r="206">
      <c r="A206" s="9">
        <v>163.15</v>
      </c>
      <c r="B206" s="9">
        <v>163.34</v>
      </c>
      <c r="C206" s="9">
        <v>0.149</v>
      </c>
      <c r="D206" s="9">
        <v>0.014303737759998825</v>
      </c>
      <c r="E206" s="9">
        <v>86.89</v>
      </c>
      <c r="F206" s="10" t="s">
        <v>232</v>
      </c>
      <c r="G206" s="8" t="s">
        <v>19</v>
      </c>
      <c r="H206" s="9">
        <v>0.02333654815543808</v>
      </c>
      <c r="I206" s="9">
        <v>163.295</v>
      </c>
      <c r="J206" s="9">
        <v>0.0313</v>
      </c>
      <c r="K206" s="9">
        <v>163.035</v>
      </c>
      <c r="L206" s="9">
        <v>-0.0705</v>
      </c>
      <c r="M206" s="8" t="s">
        <v>42</v>
      </c>
    </row>
    <row r="207">
      <c r="A207" s="9">
        <v>162.74</v>
      </c>
      <c r="B207" s="9">
        <v>162.55</v>
      </c>
      <c r="C207" s="9">
        <v>0.149</v>
      </c>
      <c r="D207" s="9">
        <v>0.01434707888000375</v>
      </c>
      <c r="E207" s="9">
        <v>44.0</v>
      </c>
      <c r="F207" s="10" t="s">
        <v>233</v>
      </c>
      <c r="G207" s="8" t="s">
        <v>19</v>
      </c>
      <c r="H207" s="9">
        <v>0.023348436169318105</v>
      </c>
      <c r="I207" s="9">
        <v>162.74</v>
      </c>
      <c r="J207" s="9">
        <v>0.0576</v>
      </c>
      <c r="K207" s="9">
        <v>162.555</v>
      </c>
      <c r="L207" s="9">
        <v>0.0</v>
      </c>
      <c r="M207" s="8" t="s">
        <v>45</v>
      </c>
    </row>
    <row r="208">
      <c r="A208" s="9">
        <v>163.19</v>
      </c>
      <c r="B208" s="9">
        <v>163.35</v>
      </c>
      <c r="C208" s="9">
        <v>0.149</v>
      </c>
      <c r="D208" s="9">
        <v>0.009830948479994106</v>
      </c>
      <c r="E208" s="9">
        <v>70.37</v>
      </c>
      <c r="F208" s="10" t="s">
        <v>234</v>
      </c>
      <c r="G208" s="8" t="s">
        <v>19</v>
      </c>
      <c r="H208" s="9">
        <v>0.016043124824502382</v>
      </c>
      <c r="I208" s="9">
        <v>163.335</v>
      </c>
      <c r="J208" s="9">
        <v>0.0312</v>
      </c>
      <c r="K208" s="9">
        <v>163.175</v>
      </c>
      <c r="L208" s="9">
        <v>-0.0092</v>
      </c>
      <c r="M208" s="8" t="s">
        <v>42</v>
      </c>
    </row>
    <row r="209">
      <c r="A209" s="9">
        <v>162.82</v>
      </c>
      <c r="B209" s="9">
        <v>162.69</v>
      </c>
      <c r="C209" s="9">
        <v>0.149</v>
      </c>
      <c r="D209" s="9">
        <v>0.005398925600001547</v>
      </c>
      <c r="E209" s="9">
        <v>43.92</v>
      </c>
      <c r="F209" s="10" t="s">
        <v>235</v>
      </c>
      <c r="G209" s="8" t="s">
        <v>19</v>
      </c>
      <c r="H209" s="9">
        <v>0.008790530661922518</v>
      </c>
      <c r="I209" s="9">
        <v>162.875</v>
      </c>
      <c r="J209" s="9">
        <v>0.0914</v>
      </c>
      <c r="K209" s="9">
        <v>162.685</v>
      </c>
      <c r="L209" s="9">
        <v>0.0338</v>
      </c>
      <c r="M209" s="8" t="s">
        <v>45</v>
      </c>
    </row>
    <row r="210">
      <c r="A210" s="9">
        <v>160.98</v>
      </c>
      <c r="B210" s="9">
        <v>161.13</v>
      </c>
      <c r="C210" s="9">
        <v>0.149</v>
      </c>
      <c r="D210" s="9">
        <v>0.008530834080001881</v>
      </c>
      <c r="E210" s="9">
        <v>260.36</v>
      </c>
      <c r="F210" s="10" t="s">
        <v>236</v>
      </c>
      <c r="G210" s="8" t="s">
        <v>19</v>
      </c>
      <c r="H210" s="9">
        <v>0.013732936701987027</v>
      </c>
      <c r="I210" s="9">
        <v>161.105</v>
      </c>
      <c r="J210" s="9">
        <v>0.02</v>
      </c>
      <c r="K210" s="9">
        <v>160.7</v>
      </c>
      <c r="L210" s="9">
        <v>-0.1739</v>
      </c>
      <c r="M210" s="8" t="s">
        <v>42</v>
      </c>
    </row>
    <row r="211">
      <c r="A211" s="9">
        <v>161.18</v>
      </c>
      <c r="B211" s="9">
        <v>161.11</v>
      </c>
      <c r="C211" s="9">
        <v>0.149</v>
      </c>
      <c r="D211" s="9">
        <v>-0.0034016103999974234</v>
      </c>
      <c r="E211" s="9">
        <v>85.83</v>
      </c>
      <c r="F211" s="10" t="s">
        <v>237</v>
      </c>
      <c r="G211" s="8" t="s">
        <v>19</v>
      </c>
      <c r="H211" s="9">
        <v>-0.0054827156427158475</v>
      </c>
      <c r="I211" s="9">
        <v>161.265</v>
      </c>
      <c r="J211" s="9">
        <v>0.1104</v>
      </c>
      <c r="K211" s="9">
        <v>161.045</v>
      </c>
      <c r="L211" s="9">
        <v>0.0527</v>
      </c>
      <c r="M211" s="8" t="s">
        <v>45</v>
      </c>
    </row>
    <row r="212">
      <c r="A212" s="9">
        <v>160.29</v>
      </c>
      <c r="B212" s="9">
        <v>159.9</v>
      </c>
      <c r="C212" s="9">
        <v>0.149</v>
      </c>
      <c r="D212" s="9">
        <v>-0.07185836112000032</v>
      </c>
      <c r="E212" s="9">
        <v>64.84</v>
      </c>
      <c r="F212" s="10" t="s">
        <v>238</v>
      </c>
      <c r="G212" s="8" t="s">
        <v>96</v>
      </c>
      <c r="H212" s="9">
        <v>-0.11518176703924853</v>
      </c>
      <c r="I212" s="9">
        <v>160.29</v>
      </c>
      <c r="J212" s="9">
        <v>-0.0576</v>
      </c>
      <c r="K212" s="9">
        <v>159.895</v>
      </c>
      <c r="L212" s="9">
        <v>-0.2464</v>
      </c>
      <c r="M212" s="8" t="s">
        <v>42</v>
      </c>
    </row>
    <row r="213">
      <c r="A213" s="9">
        <v>160.27</v>
      </c>
      <c r="B213" s="9">
        <v>160.42</v>
      </c>
      <c r="C213" s="9">
        <v>0.149</v>
      </c>
      <c r="D213" s="9">
        <v>0.008591769119995263</v>
      </c>
      <c r="E213" s="9">
        <v>244.26</v>
      </c>
      <c r="F213" s="10" t="s">
        <v>239</v>
      </c>
      <c r="G213" s="8" t="s">
        <v>19</v>
      </c>
      <c r="H213" s="9">
        <v>0.013770028368616408</v>
      </c>
      <c r="I213" s="9">
        <v>160.395</v>
      </c>
      <c r="J213" s="9">
        <v>0.0204</v>
      </c>
      <c r="K213" s="9">
        <v>160.145</v>
      </c>
      <c r="L213" s="9">
        <v>-0.078</v>
      </c>
      <c r="M213" s="8" t="s">
        <v>42</v>
      </c>
    </row>
    <row r="214">
      <c r="A214" s="9">
        <v>160.9</v>
      </c>
      <c r="B214" s="9">
        <v>160.69</v>
      </c>
      <c r="C214" s="9">
        <v>0.149</v>
      </c>
      <c r="D214" s="9">
        <v>0.01748542416000376</v>
      </c>
      <c r="E214" s="9">
        <v>17.81</v>
      </c>
      <c r="F214" s="10" t="s">
        <v>240</v>
      </c>
      <c r="G214" s="8" t="s">
        <v>19</v>
      </c>
      <c r="H214" s="9">
        <v>0.02813404747344605</v>
      </c>
      <c r="I214" s="9">
        <v>160.905</v>
      </c>
      <c r="J214" s="9">
        <v>0.0607</v>
      </c>
      <c r="K214" s="9">
        <v>160.715</v>
      </c>
      <c r="L214" s="9">
        <v>0.0031</v>
      </c>
      <c r="M214" s="8" t="s">
        <v>45</v>
      </c>
    </row>
    <row r="215">
      <c r="A215" s="9">
        <v>160.8906</v>
      </c>
      <c r="B215" s="9">
        <v>161.03</v>
      </c>
      <c r="C215" s="9">
        <v>0.149</v>
      </c>
      <c r="D215" s="9">
        <v>0.006959334179200027</v>
      </c>
      <c r="E215" s="9">
        <v>54.85</v>
      </c>
      <c r="F215" s="10" t="s">
        <v>241</v>
      </c>
      <c r="G215" s="8" t="s">
        <v>19</v>
      </c>
      <c r="H215" s="9">
        <v>0.01119691451692</v>
      </c>
      <c r="I215" s="9">
        <v>161.055</v>
      </c>
      <c r="J215" s="9">
        <v>0.0446</v>
      </c>
      <c r="K215" s="9">
        <v>160.885</v>
      </c>
      <c r="L215" s="9">
        <v>-0.0035</v>
      </c>
      <c r="M215" s="8" t="s">
        <v>42</v>
      </c>
    </row>
    <row r="216">
      <c r="A216" s="9">
        <v>161.33</v>
      </c>
      <c r="B216" s="9">
        <v>161.12</v>
      </c>
      <c r="C216" s="9">
        <v>0.149</v>
      </c>
      <c r="D216" s="9">
        <v>0.017448519840005616</v>
      </c>
      <c r="E216" s="9">
        <v>17.61</v>
      </c>
      <c r="F216" s="10" t="s">
        <v>242</v>
      </c>
      <c r="G216" s="8" t="s">
        <v>19</v>
      </c>
      <c r="H216" s="9">
        <v>0.028149697057881062</v>
      </c>
      <c r="I216" s="9">
        <v>161.335</v>
      </c>
      <c r="J216" s="9">
        <v>0.0607</v>
      </c>
      <c r="K216" s="9">
        <v>161.125</v>
      </c>
      <c r="L216" s="9">
        <v>0.0031</v>
      </c>
      <c r="M216" s="8" t="s">
        <v>45</v>
      </c>
    </row>
    <row r="217">
      <c r="A217" s="9">
        <v>161.48</v>
      </c>
      <c r="B217" s="9">
        <v>161.67</v>
      </c>
      <c r="C217" s="9">
        <v>0.149</v>
      </c>
      <c r="D217" s="9">
        <v>0.014447063840002272</v>
      </c>
      <c r="E217" s="9">
        <v>175.54</v>
      </c>
      <c r="F217" s="10" t="s">
        <v>243</v>
      </c>
      <c r="G217" s="8" t="s">
        <v>19</v>
      </c>
      <c r="H217" s="9">
        <v>0.023329118688835665</v>
      </c>
      <c r="I217" s="9">
        <v>161.675</v>
      </c>
      <c r="J217" s="9">
        <v>0.0631</v>
      </c>
      <c r="K217" s="9">
        <v>161.355</v>
      </c>
      <c r="L217" s="9">
        <v>-0.0774</v>
      </c>
      <c r="M217" s="8" t="s">
        <v>42</v>
      </c>
    </row>
    <row r="218">
      <c r="A218" s="9">
        <v>161.82</v>
      </c>
      <c r="B218" s="9">
        <v>161.68</v>
      </c>
      <c r="C218" s="9">
        <v>0.149</v>
      </c>
      <c r="D218" s="9">
        <v>0.006974964160001207</v>
      </c>
      <c r="E218" s="9">
        <v>185.97</v>
      </c>
      <c r="F218" s="10" t="s">
        <v>244</v>
      </c>
      <c r="G218" s="8" t="s">
        <v>19</v>
      </c>
      <c r="H218" s="9">
        <v>0.011286887003713952</v>
      </c>
      <c r="I218" s="9">
        <v>161.915</v>
      </c>
      <c r="J218" s="9">
        <v>0.1164</v>
      </c>
      <c r="K218" s="9">
        <v>161.685</v>
      </c>
      <c r="L218" s="9">
        <v>0.0587</v>
      </c>
      <c r="M218" s="8" t="s">
        <v>45</v>
      </c>
    </row>
    <row r="219">
      <c r="A219" s="9">
        <v>161.51</v>
      </c>
      <c r="B219" s="9">
        <v>161.34</v>
      </c>
      <c r="C219" s="9">
        <v>0.149</v>
      </c>
      <c r="D219" s="9">
        <v>0.011472213280004695</v>
      </c>
      <c r="E219" s="9">
        <v>38.92</v>
      </c>
      <c r="F219" s="10" t="s">
        <v>245</v>
      </c>
      <c r="G219" s="8" t="s">
        <v>19</v>
      </c>
      <c r="H219" s="9">
        <v>0.018528771668535584</v>
      </c>
      <c r="I219" s="9">
        <v>161.515</v>
      </c>
      <c r="J219" s="9">
        <v>0.0607</v>
      </c>
      <c r="K219" s="9">
        <v>161.365</v>
      </c>
      <c r="L219" s="9">
        <v>0.0031</v>
      </c>
      <c r="M219" s="8" t="s">
        <v>45</v>
      </c>
    </row>
    <row r="220">
      <c r="A220" s="9">
        <v>161.04</v>
      </c>
      <c r="B220" s="9">
        <v>160.71</v>
      </c>
      <c r="C220" s="9">
        <v>0.149</v>
      </c>
      <c r="D220" s="9">
        <v>-0.06298401648000151</v>
      </c>
      <c r="E220" s="9">
        <v>886.94</v>
      </c>
      <c r="F220" s="10" t="s">
        <v>246</v>
      </c>
      <c r="G220" s="8" t="s">
        <v>96</v>
      </c>
      <c r="H220" s="9">
        <v>-0.10142946013939443</v>
      </c>
      <c r="I220" s="9">
        <v>161.145</v>
      </c>
      <c r="J220" s="9">
        <v>0.0076</v>
      </c>
      <c r="K220" s="9">
        <v>160.715</v>
      </c>
      <c r="L220" s="9">
        <v>-0.2018</v>
      </c>
      <c r="M220" s="8" t="s">
        <v>42</v>
      </c>
    </row>
    <row r="221">
      <c r="A221" s="9">
        <v>160.5966</v>
      </c>
      <c r="B221" s="9">
        <v>160.98</v>
      </c>
      <c r="C221" s="9">
        <v>0.149</v>
      </c>
      <c r="D221" s="9">
        <v>-0.07091786882879347</v>
      </c>
      <c r="E221" s="9">
        <v>275.34</v>
      </c>
      <c r="F221" s="10" t="s">
        <v>247</v>
      </c>
      <c r="G221" s="8" t="s">
        <v>96</v>
      </c>
      <c r="H221" s="9">
        <v>-0.11389168613150213</v>
      </c>
      <c r="I221" s="9">
        <v>160.945</v>
      </c>
      <c r="J221" s="9">
        <v>0.2747</v>
      </c>
      <c r="K221" s="9">
        <v>160.575</v>
      </c>
      <c r="L221" s="9">
        <v>0.2169</v>
      </c>
      <c r="M221" s="8" t="s">
        <v>45</v>
      </c>
    </row>
    <row r="222">
      <c r="A222" s="9">
        <v>160.57</v>
      </c>
      <c r="B222" s="9">
        <v>160.5</v>
      </c>
      <c r="C222" s="9">
        <v>0.149</v>
      </c>
      <c r="D222" s="9">
        <v>-0.0033492577600000573</v>
      </c>
      <c r="E222" s="9">
        <v>38.56</v>
      </c>
      <c r="F222" s="10" t="s">
        <v>248</v>
      </c>
      <c r="G222" s="8" t="s">
        <v>19</v>
      </c>
      <c r="H222" s="9">
        <v>-0.005377903185232092</v>
      </c>
      <c r="I222" s="9">
        <v>160.575</v>
      </c>
      <c r="J222" s="9">
        <v>0.0607</v>
      </c>
      <c r="K222" s="9">
        <v>160.415</v>
      </c>
      <c r="L222" s="9">
        <v>0.0031</v>
      </c>
      <c r="M222" s="8" t="s">
        <v>45</v>
      </c>
    </row>
    <row r="223">
      <c r="A223" s="9">
        <v>160.93</v>
      </c>
      <c r="B223" s="9">
        <v>161.08</v>
      </c>
      <c r="C223" s="9">
        <v>0.149</v>
      </c>
      <c r="D223" s="9">
        <v>0.008535125279998113</v>
      </c>
      <c r="E223" s="9">
        <v>599.06</v>
      </c>
      <c r="F223" s="10" t="s">
        <v>249</v>
      </c>
      <c r="G223" s="8" t="s">
        <v>19</v>
      </c>
      <c r="H223" s="9">
        <v>0.013735577113100963</v>
      </c>
      <c r="I223" s="9">
        <v>161.085</v>
      </c>
      <c r="J223" s="9">
        <v>0.0387</v>
      </c>
      <c r="K223" s="9">
        <v>160.615</v>
      </c>
      <c r="L223" s="9">
        <v>-0.1957</v>
      </c>
      <c r="M223" s="8" t="s">
        <v>42</v>
      </c>
    </row>
    <row r="224">
      <c r="A224" s="9">
        <v>160.56</v>
      </c>
      <c r="B224" s="9">
        <v>160.38</v>
      </c>
      <c r="C224" s="9">
        <v>0.149</v>
      </c>
      <c r="D224" s="9">
        <v>0.01304396064000457</v>
      </c>
      <c r="E224" s="9">
        <v>54.6</v>
      </c>
      <c r="F224" s="10" t="s">
        <v>250</v>
      </c>
      <c r="G224" s="8" t="s">
        <v>19</v>
      </c>
      <c r="H224" s="9">
        <v>0.020943383203591338</v>
      </c>
      <c r="I224" s="9">
        <v>160.565</v>
      </c>
      <c r="J224" s="9">
        <v>0.0607</v>
      </c>
      <c r="K224" s="9">
        <v>160.415</v>
      </c>
      <c r="L224" s="9">
        <v>0.0031</v>
      </c>
      <c r="M224" s="8" t="s">
        <v>45</v>
      </c>
    </row>
    <row r="225">
      <c r="A225" s="9">
        <v>159.4</v>
      </c>
      <c r="B225" s="9">
        <v>159.55</v>
      </c>
      <c r="C225" s="9">
        <v>0.149</v>
      </c>
      <c r="D225" s="9">
        <v>0.008666436000002165</v>
      </c>
      <c r="E225" s="9">
        <v>403.29</v>
      </c>
      <c r="F225" s="10" t="s">
        <v>251</v>
      </c>
      <c r="G225" s="8" t="s">
        <v>19</v>
      </c>
      <c r="H225" s="9">
        <v>0.01381429898400345</v>
      </c>
      <c r="I225" s="9">
        <v>159.545</v>
      </c>
      <c r="J225" s="9">
        <v>0.0333</v>
      </c>
      <c r="K225" s="9">
        <v>159.135</v>
      </c>
      <c r="L225" s="9">
        <v>-0.1662</v>
      </c>
      <c r="M225" s="8" t="s">
        <v>42</v>
      </c>
    </row>
    <row r="226">
      <c r="A226" s="9">
        <v>159.04</v>
      </c>
      <c r="B226" s="9">
        <v>158.89</v>
      </c>
      <c r="C226" s="9">
        <v>0.149</v>
      </c>
      <c r="D226" s="9">
        <v>0.008703769440000286</v>
      </c>
      <c r="E226" s="9">
        <v>81.4</v>
      </c>
      <c r="F226" s="10" t="s">
        <v>252</v>
      </c>
      <c r="G226" s="8" t="s">
        <v>19</v>
      </c>
      <c r="H226" s="9">
        <v>0.013842474917376453</v>
      </c>
      <c r="I226" s="9">
        <v>159.105</v>
      </c>
      <c r="J226" s="9">
        <v>0.0985</v>
      </c>
      <c r="K226" s="9">
        <v>158.885</v>
      </c>
      <c r="L226" s="9">
        <v>0.0409</v>
      </c>
      <c r="M226" s="8" t="s">
        <v>45</v>
      </c>
    </row>
    <row r="227">
      <c r="A227" s="9">
        <v>159.44</v>
      </c>
      <c r="B227" s="9">
        <v>159.09</v>
      </c>
      <c r="C227" s="9">
        <v>0.149</v>
      </c>
      <c r="D227" s="9">
        <v>-0.06582626896000221</v>
      </c>
      <c r="E227" s="9">
        <v>280.92</v>
      </c>
      <c r="F227" s="10" t="s">
        <v>253</v>
      </c>
      <c r="G227" s="8" t="s">
        <v>96</v>
      </c>
      <c r="H227" s="9">
        <v>-0.10495340322982753</v>
      </c>
      <c r="I227" s="9">
        <v>159.44</v>
      </c>
      <c r="J227" s="9">
        <v>-0.0576</v>
      </c>
      <c r="K227" s="9">
        <v>159.095</v>
      </c>
      <c r="L227" s="9">
        <v>-0.2164</v>
      </c>
      <c r="M227" s="8" t="s">
        <v>42</v>
      </c>
    </row>
    <row r="228">
      <c r="A228" s="9">
        <v>158.98</v>
      </c>
      <c r="B228" s="9">
        <v>159.06</v>
      </c>
      <c r="C228" s="9">
        <v>0.149</v>
      </c>
      <c r="D228" s="9">
        <v>-0.0017260160000027724</v>
      </c>
      <c r="E228" s="9">
        <v>17.76</v>
      </c>
      <c r="F228" s="10" t="s">
        <v>254</v>
      </c>
      <c r="G228" s="8" t="s">
        <v>19</v>
      </c>
      <c r="H228" s="9">
        <v>-0.0027440202368044075</v>
      </c>
      <c r="I228" s="9">
        <v>159.105</v>
      </c>
      <c r="J228" s="9">
        <v>0.021</v>
      </c>
      <c r="K228" s="9">
        <v>158.975</v>
      </c>
      <c r="L228" s="9">
        <v>-0.0031</v>
      </c>
      <c r="M228" s="8" t="s">
        <v>42</v>
      </c>
    </row>
    <row r="229">
      <c r="A229" s="9">
        <v>158.98</v>
      </c>
      <c r="B229" s="9">
        <v>159.09</v>
      </c>
      <c r="C229" s="9">
        <v>0.149</v>
      </c>
      <c r="D229" s="9">
        <v>0.002743340319998566</v>
      </c>
      <c r="E229" s="9">
        <v>54.43</v>
      </c>
      <c r="F229" s="10" t="s">
        <v>255</v>
      </c>
      <c r="G229" s="8" t="s">
        <v>19</v>
      </c>
      <c r="H229" s="9">
        <v>0.00436136244073372</v>
      </c>
      <c r="I229" s="9">
        <v>159.115</v>
      </c>
      <c r="J229" s="9">
        <v>0.0273</v>
      </c>
      <c r="K229" s="9">
        <v>158.955</v>
      </c>
      <c r="L229" s="9">
        <v>-0.0157</v>
      </c>
      <c r="M229" s="8" t="s">
        <v>42</v>
      </c>
    </row>
    <row r="230">
      <c r="A230" s="9">
        <v>158.59</v>
      </c>
      <c r="B230" s="9">
        <v>158.44</v>
      </c>
      <c r="C230" s="9">
        <v>0.149</v>
      </c>
      <c r="D230" s="9">
        <v>0.008742390240001896</v>
      </c>
      <c r="E230" s="9">
        <v>108.03</v>
      </c>
      <c r="F230" s="10" t="s">
        <v>256</v>
      </c>
      <c r="G230" s="8" t="s">
        <v>19</v>
      </c>
      <c r="H230" s="9">
        <v>0.013864556681619008</v>
      </c>
      <c r="I230" s="9">
        <v>158.795</v>
      </c>
      <c r="J230" s="9">
        <v>0.187</v>
      </c>
      <c r="K230" s="9">
        <v>158.435</v>
      </c>
      <c r="L230" s="9">
        <v>0.1293</v>
      </c>
      <c r="M230" s="8" t="s">
        <v>45</v>
      </c>
    </row>
    <row r="231">
      <c r="A231" s="9">
        <v>159.06</v>
      </c>
      <c r="B231" s="9">
        <v>159.21</v>
      </c>
      <c r="C231" s="9">
        <v>0.149</v>
      </c>
      <c r="D231" s="9">
        <v>0.008695616160000696</v>
      </c>
      <c r="E231" s="9">
        <v>313.93</v>
      </c>
      <c r="F231" s="10" t="s">
        <v>257</v>
      </c>
      <c r="G231" s="8" t="s">
        <v>19</v>
      </c>
      <c r="H231" s="9">
        <v>0.013831247064097107</v>
      </c>
      <c r="I231" s="9">
        <v>159.215</v>
      </c>
      <c r="J231" s="9">
        <v>0.0398</v>
      </c>
      <c r="K231" s="9">
        <v>158.835</v>
      </c>
      <c r="L231" s="9">
        <v>-0.1415</v>
      </c>
      <c r="M231" s="8" t="s">
        <v>42</v>
      </c>
    </row>
    <row r="232">
      <c r="A232" s="9">
        <v>158.69</v>
      </c>
      <c r="B232" s="9">
        <v>158.54</v>
      </c>
      <c r="C232" s="9">
        <v>0.149</v>
      </c>
      <c r="D232" s="9">
        <v>0.008733807840002328</v>
      </c>
      <c r="E232" s="9">
        <v>254.16</v>
      </c>
      <c r="F232" s="10" t="s">
        <v>258</v>
      </c>
      <c r="G232" s="8" t="s">
        <v>19</v>
      </c>
      <c r="H232" s="9">
        <v>0.013859679661299694</v>
      </c>
      <c r="I232" s="9">
        <v>158.845</v>
      </c>
      <c r="J232" s="9">
        <v>0.1554</v>
      </c>
      <c r="K232" s="9">
        <v>158.535</v>
      </c>
      <c r="L232" s="9">
        <v>0.0977</v>
      </c>
      <c r="M232" s="8" t="s">
        <v>45</v>
      </c>
    </row>
    <row r="233">
      <c r="A233" s="9">
        <v>157.5066</v>
      </c>
      <c r="B233" s="9">
        <v>157.68</v>
      </c>
      <c r="C233" s="9">
        <v>0.149</v>
      </c>
      <c r="D233" s="9">
        <v>0.012315033091201855</v>
      </c>
      <c r="E233" s="9">
        <v>397.34</v>
      </c>
      <c r="F233" s="10" t="s">
        <v>259</v>
      </c>
      <c r="G233" s="8" t="s">
        <v>19</v>
      </c>
      <c r="H233" s="9">
        <v>0.019396989910826938</v>
      </c>
      <c r="I233" s="9">
        <v>157.675</v>
      </c>
      <c r="J233" s="9">
        <v>0.0493</v>
      </c>
      <c r="K233" s="9">
        <v>157.215</v>
      </c>
      <c r="L233" s="9">
        <v>-0.1851</v>
      </c>
      <c r="M233" s="8" t="s">
        <v>42</v>
      </c>
    </row>
    <row r="234">
      <c r="A234" s="9">
        <v>157.14</v>
      </c>
      <c r="B234" s="9">
        <v>157.46</v>
      </c>
      <c r="C234" s="9">
        <v>0.149</v>
      </c>
      <c r="D234" s="9">
        <v>-0.06117324927999945</v>
      </c>
      <c r="E234" s="9">
        <v>186.69</v>
      </c>
      <c r="F234" s="10" t="s">
        <v>260</v>
      </c>
      <c r="G234" s="8" t="s">
        <v>96</v>
      </c>
      <c r="H234" s="9">
        <v>-0.09612764391859113</v>
      </c>
      <c r="I234" s="9">
        <v>157.455</v>
      </c>
      <c r="J234" s="9">
        <v>0.2582</v>
      </c>
      <c r="K234" s="9">
        <v>157.045</v>
      </c>
      <c r="L234" s="9">
        <v>0.2005</v>
      </c>
      <c r="M234" s="8" t="s">
        <v>45</v>
      </c>
    </row>
    <row r="235">
      <c r="A235" s="9">
        <v>156.64</v>
      </c>
      <c r="B235" s="9">
        <v>156.3</v>
      </c>
      <c r="C235" s="9">
        <v>0.149</v>
      </c>
      <c r="D235" s="9">
        <v>-0.06409617631999609</v>
      </c>
      <c r="E235" s="9">
        <v>497.88</v>
      </c>
      <c r="F235" s="10" t="s">
        <v>261</v>
      </c>
      <c r="G235" s="8" t="s">
        <v>96</v>
      </c>
      <c r="H235" s="9">
        <v>-0.10040025058764186</v>
      </c>
      <c r="I235" s="9">
        <v>156.725</v>
      </c>
      <c r="J235" s="9">
        <v>-0.0033</v>
      </c>
      <c r="K235" s="9">
        <v>156.305</v>
      </c>
      <c r="L235" s="9">
        <v>-0.2139</v>
      </c>
      <c r="M235" s="8" t="s">
        <v>42</v>
      </c>
    </row>
    <row r="236">
      <c r="A236" s="9">
        <v>156.66</v>
      </c>
      <c r="B236" s="9">
        <v>156.33</v>
      </c>
      <c r="C236" s="9">
        <v>0.149</v>
      </c>
      <c r="D236" s="9">
        <v>-0.06260810736000266</v>
      </c>
      <c r="E236" s="9">
        <v>170.46</v>
      </c>
      <c r="F236" s="10" t="s">
        <v>262</v>
      </c>
      <c r="G236" s="8" t="s">
        <v>96</v>
      </c>
      <c r="H236" s="9">
        <v>-0.09808186099018017</v>
      </c>
      <c r="I236" s="9">
        <v>156.685</v>
      </c>
      <c r="J236" s="9">
        <v>-0.0416</v>
      </c>
      <c r="K236" s="9">
        <v>156.325</v>
      </c>
      <c r="L236" s="9">
        <v>-0.2138</v>
      </c>
      <c r="M236" s="8" t="s">
        <v>42</v>
      </c>
    </row>
    <row r="237">
      <c r="A237" s="9">
        <v>156.04</v>
      </c>
      <c r="B237" s="9">
        <v>155.92</v>
      </c>
      <c r="C237" s="9">
        <v>0.149</v>
      </c>
      <c r="D237" s="9">
        <v>0.004490597760003823</v>
      </c>
      <c r="E237" s="9">
        <v>18.62</v>
      </c>
      <c r="F237" s="10" t="s">
        <v>263</v>
      </c>
      <c r="G237" s="8" t="s">
        <v>19</v>
      </c>
      <c r="H237" s="9">
        <v>0.007007128744709965</v>
      </c>
      <c r="I237" s="9">
        <v>156.045</v>
      </c>
      <c r="J237" s="9">
        <v>0.0608</v>
      </c>
      <c r="K237" s="9">
        <v>155.915</v>
      </c>
      <c r="L237" s="9">
        <v>0.0032</v>
      </c>
      <c r="M237" s="8" t="s">
        <v>45</v>
      </c>
    </row>
    <row r="238">
      <c r="A238" s="9">
        <v>156.58</v>
      </c>
      <c r="B238" s="9">
        <v>156.73</v>
      </c>
      <c r="C238" s="9">
        <v>0.149</v>
      </c>
      <c r="D238" s="9">
        <v>0.008908459679993541</v>
      </c>
      <c r="E238" s="9">
        <v>50.01</v>
      </c>
      <c r="F238" s="10" t="s">
        <v>264</v>
      </c>
      <c r="G238" s="8" t="s">
        <v>19</v>
      </c>
      <c r="H238" s="9">
        <v>0.013948866166933888</v>
      </c>
      <c r="I238" s="9">
        <v>156.725</v>
      </c>
      <c r="J238" s="9">
        <v>0.035</v>
      </c>
      <c r="K238" s="9">
        <v>156.545</v>
      </c>
      <c r="L238" s="9">
        <v>-0.0224</v>
      </c>
      <c r="M238" s="8" t="s">
        <v>42</v>
      </c>
    </row>
    <row r="239">
      <c r="A239" s="9">
        <v>156.33</v>
      </c>
      <c r="B239" s="9">
        <v>156.14</v>
      </c>
      <c r="C239" s="9">
        <v>0.149</v>
      </c>
      <c r="D239" s="9">
        <v>0.014897210720008047</v>
      </c>
      <c r="E239" s="9">
        <v>17.89</v>
      </c>
      <c r="F239" s="10" t="s">
        <v>265</v>
      </c>
      <c r="G239" s="8" t="s">
        <v>19</v>
      </c>
      <c r="H239" s="9">
        <v>0.023288809518588582</v>
      </c>
      <c r="I239" s="9">
        <v>156.335</v>
      </c>
      <c r="J239" s="9">
        <v>0.0608</v>
      </c>
      <c r="K239" s="9">
        <v>156.205</v>
      </c>
      <c r="L239" s="9">
        <v>0.0032</v>
      </c>
      <c r="M239" s="8" t="s">
        <v>45</v>
      </c>
    </row>
    <row r="240">
      <c r="A240" s="9">
        <v>157.01</v>
      </c>
      <c r="B240" s="9">
        <v>156.68</v>
      </c>
      <c r="C240" s="9">
        <v>0.149</v>
      </c>
      <c r="D240" s="9">
        <v>-0.0626381457599976</v>
      </c>
      <c r="E240" s="9">
        <v>197.35</v>
      </c>
      <c r="F240" s="10" t="s">
        <v>266</v>
      </c>
      <c r="G240" s="8" t="s">
        <v>96</v>
      </c>
      <c r="H240" s="9">
        <v>-0.09834815265777222</v>
      </c>
      <c r="I240" s="9">
        <v>157.01</v>
      </c>
      <c r="J240" s="9">
        <v>-0.0576</v>
      </c>
      <c r="K240" s="9">
        <v>156.695</v>
      </c>
      <c r="L240" s="9">
        <v>-0.2006</v>
      </c>
      <c r="M240" s="8" t="s">
        <v>42</v>
      </c>
    </row>
    <row r="241">
      <c r="A241" s="9">
        <v>156.53</v>
      </c>
      <c r="B241" s="9">
        <v>156.21</v>
      </c>
      <c r="C241" s="9">
        <v>0.149</v>
      </c>
      <c r="D241" s="9">
        <v>0.03425283519999667</v>
      </c>
      <c r="E241" s="9">
        <v>340.03</v>
      </c>
      <c r="F241" s="10" t="s">
        <v>267</v>
      </c>
      <c r="G241" s="8" t="s">
        <v>19</v>
      </c>
      <c r="H241" s="9">
        <v>0.05361596293855478</v>
      </c>
      <c r="I241" s="9">
        <v>156.825</v>
      </c>
      <c r="J241" s="9">
        <v>0.2462</v>
      </c>
      <c r="K241" s="9">
        <v>156.235</v>
      </c>
      <c r="L241" s="9">
        <v>0.1885</v>
      </c>
      <c r="M241" s="8" t="s">
        <v>45</v>
      </c>
    </row>
    <row r="242">
      <c r="A242" s="9">
        <v>156.72</v>
      </c>
      <c r="B242" s="9">
        <v>156.83</v>
      </c>
      <c r="C242" s="9">
        <v>0.149</v>
      </c>
      <c r="D242" s="9">
        <v>0.002937302559999466</v>
      </c>
      <c r="E242" s="9">
        <v>60.59</v>
      </c>
      <c r="F242" s="10" t="s">
        <v>268</v>
      </c>
      <c r="G242" s="8" t="s">
        <v>19</v>
      </c>
      <c r="H242" s="9">
        <v>0.004603340572031163</v>
      </c>
      <c r="I242" s="9">
        <v>156.865</v>
      </c>
      <c r="J242" s="9">
        <v>0.0349</v>
      </c>
      <c r="K242" s="9">
        <v>156.715</v>
      </c>
      <c r="L242" s="9">
        <v>-0.0032</v>
      </c>
      <c r="M242" s="8" t="s">
        <v>42</v>
      </c>
    </row>
    <row r="243">
      <c r="A243" s="9">
        <v>157.11</v>
      </c>
      <c r="B243" s="9">
        <v>156.98</v>
      </c>
      <c r="C243" s="9">
        <v>0.149</v>
      </c>
      <c r="D243" s="9">
        <v>0.005888980640008867</v>
      </c>
      <c r="E243" s="9">
        <v>54.33</v>
      </c>
      <c r="F243" s="10" t="s">
        <v>269</v>
      </c>
      <c r="G243" s="8" t="s">
        <v>19</v>
      </c>
      <c r="H243" s="9">
        <v>0.009252177483517933</v>
      </c>
      <c r="I243" s="9">
        <v>157.135</v>
      </c>
      <c r="J243" s="9">
        <v>0.0736</v>
      </c>
      <c r="K243" s="9">
        <v>156.975</v>
      </c>
      <c r="L243" s="9">
        <v>0.0159</v>
      </c>
      <c r="M243" s="8" t="s">
        <v>45</v>
      </c>
    </row>
    <row r="244">
      <c r="A244" s="9">
        <v>157.43</v>
      </c>
      <c r="B244" s="9">
        <v>157.62</v>
      </c>
      <c r="C244" s="9">
        <v>0.149</v>
      </c>
      <c r="D244" s="9">
        <v>0.014794651039998996</v>
      </c>
      <c r="E244" s="9">
        <v>12.56</v>
      </c>
      <c r="F244" s="10" t="s">
        <v>270</v>
      </c>
      <c r="G244" s="8" t="s">
        <v>19</v>
      </c>
      <c r="H244" s="9">
        <v>0.02329121913227042</v>
      </c>
      <c r="I244" s="9">
        <v>157.595</v>
      </c>
      <c r="J244" s="9">
        <v>0.0472</v>
      </c>
      <c r="K244" s="9">
        <v>157.415</v>
      </c>
      <c r="L244" s="9">
        <v>-0.0095</v>
      </c>
      <c r="M244" s="8" t="s">
        <v>42</v>
      </c>
    </row>
    <row r="245">
      <c r="A245" s="9">
        <v>157.64</v>
      </c>
      <c r="B245" s="9">
        <v>157.43</v>
      </c>
      <c r="C245" s="9">
        <v>0.149</v>
      </c>
      <c r="D245" s="9">
        <v>0.01776521039999679</v>
      </c>
      <c r="E245" s="9">
        <v>1067.63</v>
      </c>
      <c r="F245" s="10" t="s">
        <v>271</v>
      </c>
      <c r="G245" s="8" t="s">
        <v>19</v>
      </c>
      <c r="H245" s="9">
        <v>0.028005077674554936</v>
      </c>
      <c r="I245" s="9">
        <v>157.955</v>
      </c>
      <c r="J245" s="9">
        <v>0.2576</v>
      </c>
      <c r="K245" s="9">
        <v>157.465</v>
      </c>
      <c r="L245" s="9">
        <v>0.1998</v>
      </c>
      <c r="M245" s="8" t="s">
        <v>45</v>
      </c>
    </row>
    <row r="246">
      <c r="A246" s="9">
        <v>156.74</v>
      </c>
      <c r="B246" s="9">
        <v>156.92</v>
      </c>
      <c r="C246" s="9">
        <v>0.149</v>
      </c>
      <c r="D246" s="9">
        <v>0.01336408415999557</v>
      </c>
      <c r="E246" s="9">
        <v>186.5</v>
      </c>
      <c r="F246" s="10" t="s">
        <v>272</v>
      </c>
      <c r="G246" s="8" t="s">
        <v>19</v>
      </c>
      <c r="H246" s="9">
        <v>0.02094686551237706</v>
      </c>
      <c r="I246" s="9">
        <v>156.915</v>
      </c>
      <c r="J246" s="9">
        <v>0.054</v>
      </c>
      <c r="K246" s="9">
        <v>156.585</v>
      </c>
      <c r="L246" s="9">
        <v>-0.0989</v>
      </c>
      <c r="M246" s="8" t="s">
        <v>42</v>
      </c>
    </row>
    <row r="247">
      <c r="A247" s="9">
        <v>157.65</v>
      </c>
      <c r="B247" s="9">
        <v>157.47</v>
      </c>
      <c r="C247" s="9">
        <v>0.149</v>
      </c>
      <c r="D247" s="9">
        <v>0.013293708480002664</v>
      </c>
      <c r="E247" s="9">
        <v>28.27</v>
      </c>
      <c r="F247" s="10" t="s">
        <v>273</v>
      </c>
      <c r="G247" s="8" t="s">
        <v>19</v>
      </c>
      <c r="H247" s="9">
        <v>0.0209575314187242</v>
      </c>
      <c r="I247" s="9">
        <v>157.655</v>
      </c>
      <c r="J247" s="9">
        <v>0.0608</v>
      </c>
      <c r="K247" s="9">
        <v>157.465</v>
      </c>
      <c r="L247" s="9">
        <v>0.0032</v>
      </c>
      <c r="M247" s="8" t="s">
        <v>45</v>
      </c>
    </row>
    <row r="248">
      <c r="A248" s="9">
        <v>157.84</v>
      </c>
      <c r="B248" s="9">
        <v>157.97</v>
      </c>
      <c r="C248" s="9">
        <v>0.149</v>
      </c>
      <c r="D248" s="9">
        <v>0.005820750560001642</v>
      </c>
      <c r="E248" s="9">
        <v>833.61</v>
      </c>
      <c r="F248" s="10" t="s">
        <v>274</v>
      </c>
      <c r="G248" s="8" t="s">
        <v>19</v>
      </c>
      <c r="H248" s="9">
        <v>0.009187472683906591</v>
      </c>
      <c r="I248" s="9">
        <v>157.975</v>
      </c>
      <c r="J248" s="9">
        <v>0.0279</v>
      </c>
      <c r="K248" s="9">
        <v>157.615</v>
      </c>
      <c r="L248" s="9">
        <v>-0.1425</v>
      </c>
      <c r="M248" s="8" t="s">
        <v>42</v>
      </c>
    </row>
    <row r="249">
      <c r="A249" s="9">
        <v>157.77</v>
      </c>
      <c r="B249" s="9">
        <v>157.64</v>
      </c>
      <c r="C249" s="9">
        <v>0.149</v>
      </c>
      <c r="D249" s="9">
        <v>0.005832336800008164</v>
      </c>
      <c r="E249" s="9">
        <v>249.78</v>
      </c>
      <c r="F249" s="10" t="s">
        <v>275</v>
      </c>
      <c r="G249" s="8" t="s">
        <v>19</v>
      </c>
      <c r="H249" s="9">
        <v>0.009201677769372881</v>
      </c>
      <c r="I249" s="9">
        <v>157.855</v>
      </c>
      <c r="J249" s="9">
        <v>0.1115</v>
      </c>
      <c r="K249" s="9">
        <v>157.635</v>
      </c>
      <c r="L249" s="9">
        <v>0.0539</v>
      </c>
      <c r="M249" s="8" t="s">
        <v>45</v>
      </c>
    </row>
    <row r="250">
      <c r="A250" s="9">
        <v>157.88</v>
      </c>
      <c r="B250" s="9">
        <v>157.99</v>
      </c>
      <c r="C250" s="9">
        <v>0.149</v>
      </c>
      <c r="D250" s="9">
        <v>0.002837746720000922</v>
      </c>
      <c r="E250" s="9">
        <v>539.51</v>
      </c>
      <c r="F250" s="10" t="s">
        <v>276</v>
      </c>
      <c r="G250" s="8" t="s">
        <v>19</v>
      </c>
      <c r="H250" s="9">
        <v>0.004480234521537456</v>
      </c>
      <c r="I250" s="9">
        <v>158.025</v>
      </c>
      <c r="J250" s="9">
        <v>0.0342</v>
      </c>
      <c r="K250" s="9">
        <v>157.745</v>
      </c>
      <c r="L250" s="9">
        <v>-0.0855</v>
      </c>
      <c r="M250" s="8" t="s">
        <v>42</v>
      </c>
    </row>
    <row r="251">
      <c r="A251" s="9">
        <v>157.65</v>
      </c>
      <c r="B251" s="9">
        <v>157.52</v>
      </c>
      <c r="C251" s="9">
        <v>0.149</v>
      </c>
      <c r="D251" s="9">
        <v>0.005842635680000541</v>
      </c>
      <c r="E251" s="9">
        <v>254.27</v>
      </c>
      <c r="F251" s="10" t="s">
        <v>277</v>
      </c>
      <c r="G251" s="8" t="s">
        <v>19</v>
      </c>
      <c r="H251" s="9">
        <v>0.009210915149520852</v>
      </c>
      <c r="I251" s="9">
        <v>157.655</v>
      </c>
      <c r="J251" s="9">
        <v>0.0608</v>
      </c>
      <c r="K251" s="9">
        <v>157.515</v>
      </c>
      <c r="L251" s="9">
        <v>0.0032</v>
      </c>
      <c r="M251" s="8" t="s">
        <v>45</v>
      </c>
    </row>
    <row r="252">
      <c r="A252" s="9">
        <v>157.9</v>
      </c>
      <c r="B252" s="9">
        <v>158.02</v>
      </c>
      <c r="C252" s="9">
        <v>0.149</v>
      </c>
      <c r="D252" s="9">
        <v>0.004325815679997902</v>
      </c>
      <c r="E252" s="9">
        <v>285.88</v>
      </c>
      <c r="F252" s="10" t="s">
        <v>278</v>
      </c>
      <c r="G252" s="8" t="s">
        <v>19</v>
      </c>
      <c r="H252" s="9">
        <v>0.006830462958716687</v>
      </c>
      <c r="I252" s="9">
        <v>158.025</v>
      </c>
      <c r="J252" s="9">
        <v>0.0216</v>
      </c>
      <c r="K252" s="9">
        <v>157.875</v>
      </c>
      <c r="L252" s="9">
        <v>-0.0158</v>
      </c>
      <c r="M252" s="8" t="s">
        <v>42</v>
      </c>
    </row>
    <row r="253">
      <c r="A253" s="9">
        <v>157.95</v>
      </c>
      <c r="B253" s="9">
        <v>157.84</v>
      </c>
      <c r="C253" s="9">
        <v>0.149</v>
      </c>
      <c r="D253" s="9">
        <v>0.002836459360000987</v>
      </c>
      <c r="E253" s="9">
        <v>97.21</v>
      </c>
      <c r="F253" s="10" t="s">
        <v>279</v>
      </c>
      <c r="G253" s="8" t="s">
        <v>19</v>
      </c>
      <c r="H253" s="9">
        <v>0.004480187559121558</v>
      </c>
      <c r="I253" s="9">
        <v>157.995</v>
      </c>
      <c r="J253" s="9">
        <v>0.0861</v>
      </c>
      <c r="K253" s="9">
        <v>157.805</v>
      </c>
      <c r="L253" s="9">
        <v>0.0285</v>
      </c>
      <c r="M253" s="8" t="s">
        <v>45</v>
      </c>
    </row>
    <row r="254">
      <c r="A254" s="9">
        <v>158.18</v>
      </c>
      <c r="B254" s="9">
        <v>158.3</v>
      </c>
      <c r="C254" s="9">
        <v>0.149</v>
      </c>
      <c r="D254" s="9">
        <v>0.004301784960002664</v>
      </c>
      <c r="E254" s="9">
        <v>687.08</v>
      </c>
      <c r="F254" s="10" t="s">
        <v>280</v>
      </c>
      <c r="G254" s="8" t="s">
        <v>19</v>
      </c>
      <c r="H254" s="9">
        <v>0.006804563449732214</v>
      </c>
      <c r="I254" s="9">
        <v>158.305</v>
      </c>
      <c r="J254" s="9">
        <v>0.0214</v>
      </c>
      <c r="K254" s="9">
        <v>158.095</v>
      </c>
      <c r="L254" s="9">
        <v>-0.0537</v>
      </c>
      <c r="M254" s="8" t="s">
        <v>42</v>
      </c>
    </row>
    <row r="255">
      <c r="A255" s="9">
        <v>158.01</v>
      </c>
      <c r="B255" s="9">
        <v>157.89</v>
      </c>
      <c r="C255" s="9">
        <v>0.149</v>
      </c>
      <c r="D255" s="9">
        <v>0.004321524480005223</v>
      </c>
      <c r="E255" s="9">
        <v>281.2</v>
      </c>
      <c r="F255" s="10" t="s">
        <v>281</v>
      </c>
      <c r="G255" s="8" t="s">
        <v>19</v>
      </c>
      <c r="H255" s="9">
        <v>0.006828440830856253</v>
      </c>
      <c r="I255" s="9">
        <v>158.045</v>
      </c>
      <c r="J255" s="9">
        <v>0.0798</v>
      </c>
      <c r="K255" s="9">
        <v>157.885</v>
      </c>
      <c r="L255" s="9">
        <v>0.0222</v>
      </c>
      <c r="M255" s="8" t="s">
        <v>45</v>
      </c>
    </row>
    <row r="256">
      <c r="A256" s="9">
        <v>157.27</v>
      </c>
      <c r="B256" s="9">
        <v>157.41</v>
      </c>
      <c r="C256" s="9">
        <v>0.149</v>
      </c>
      <c r="D256" s="9">
        <v>0.007359455679996074</v>
      </c>
      <c r="E256" s="9">
        <v>23.24</v>
      </c>
      <c r="F256" s="10" t="s">
        <v>282</v>
      </c>
      <c r="G256" s="8" t="s">
        <v>19</v>
      </c>
      <c r="H256" s="9">
        <v>0.011574215947929827</v>
      </c>
      <c r="I256" s="9">
        <v>157.415</v>
      </c>
      <c r="J256" s="9">
        <v>0.0346</v>
      </c>
      <c r="K256" s="9">
        <v>157.255</v>
      </c>
      <c r="L256" s="9">
        <v>-0.0095</v>
      </c>
      <c r="M256" s="8" t="s">
        <v>42</v>
      </c>
    </row>
    <row r="257">
      <c r="A257" s="9">
        <v>157.05</v>
      </c>
      <c r="B257" s="9">
        <v>156.95</v>
      </c>
      <c r="C257" s="9">
        <v>0.149</v>
      </c>
      <c r="D257" s="9">
        <v>0.0014234864000037817</v>
      </c>
      <c r="E257" s="9">
        <v>49.34</v>
      </c>
      <c r="F257" s="10" t="s">
        <v>283</v>
      </c>
      <c r="G257" s="8" t="s">
        <v>19</v>
      </c>
      <c r="H257" s="9">
        <v>0.002235585391205939</v>
      </c>
      <c r="I257" s="9">
        <v>157.055</v>
      </c>
      <c r="J257" s="9">
        <v>0.0608</v>
      </c>
      <c r="K257" s="9">
        <v>156.915</v>
      </c>
      <c r="L257" s="9">
        <v>0.0032</v>
      </c>
      <c r="M257" s="8" t="s">
        <v>45</v>
      </c>
    </row>
    <row r="258">
      <c r="A258" s="9">
        <v>156.92</v>
      </c>
      <c r="B258" s="9">
        <v>157.06</v>
      </c>
      <c r="C258" s="9">
        <v>0.149</v>
      </c>
      <c r="D258" s="9">
        <v>0.007389494080001668</v>
      </c>
      <c r="E258" s="9">
        <v>154.74</v>
      </c>
      <c r="F258" s="10" t="s">
        <v>284</v>
      </c>
      <c r="G258" s="8" t="s">
        <v>19</v>
      </c>
      <c r="H258" s="9">
        <v>0.011595594110338617</v>
      </c>
      <c r="I258" s="9">
        <v>157.065</v>
      </c>
      <c r="J258" s="9">
        <v>0.0348</v>
      </c>
      <c r="K258" s="9">
        <v>156.905</v>
      </c>
      <c r="L258" s="9">
        <v>-0.0096</v>
      </c>
      <c r="M258" s="8" t="s">
        <v>42</v>
      </c>
    </row>
    <row r="259">
      <c r="A259" s="9">
        <v>157.15</v>
      </c>
      <c r="B259" s="9">
        <v>157.05</v>
      </c>
      <c r="C259" s="9">
        <v>0.149</v>
      </c>
      <c r="D259" s="9">
        <v>0.0014149040000042135</v>
      </c>
      <c r="E259" s="9">
        <v>133.35</v>
      </c>
      <c r="F259" s="10" t="s">
        <v>285</v>
      </c>
      <c r="G259" s="8" t="s">
        <v>19</v>
      </c>
      <c r="H259" s="9">
        <v>0.0022235216360066215</v>
      </c>
      <c r="I259" s="9">
        <v>157.155</v>
      </c>
      <c r="J259" s="9">
        <v>0.0608</v>
      </c>
      <c r="K259" s="9">
        <v>157.015</v>
      </c>
      <c r="L259" s="9">
        <v>0.0032</v>
      </c>
      <c r="M259" s="8" t="s">
        <v>45</v>
      </c>
    </row>
    <row r="260">
      <c r="A260" s="9">
        <v>157.2</v>
      </c>
      <c r="B260" s="9">
        <v>157.39</v>
      </c>
      <c r="C260" s="9">
        <v>0.149</v>
      </c>
      <c r="D260" s="9">
        <v>0.014814390559998003</v>
      </c>
      <c r="E260" s="9">
        <v>17.49</v>
      </c>
      <c r="F260" s="10" t="s">
        <v>286</v>
      </c>
      <c r="G260" s="8" t="s">
        <v>19</v>
      </c>
      <c r="H260" s="9">
        <v>0.02328822196031686</v>
      </c>
      <c r="I260" s="9">
        <v>157.395</v>
      </c>
      <c r="J260" s="9">
        <v>0.0664</v>
      </c>
      <c r="K260" s="9">
        <v>157.195</v>
      </c>
      <c r="L260" s="9">
        <v>-0.0032</v>
      </c>
      <c r="M260" s="8" t="s">
        <v>42</v>
      </c>
    </row>
    <row r="261">
      <c r="A261" s="9">
        <v>157.68</v>
      </c>
      <c r="B261" s="9">
        <v>157.57</v>
      </c>
      <c r="C261" s="9">
        <v>0.149</v>
      </c>
      <c r="D261" s="9">
        <v>0.0028596318400033738</v>
      </c>
      <c r="E261" s="9">
        <v>417.39</v>
      </c>
      <c r="F261" s="10" t="s">
        <v>287</v>
      </c>
      <c r="G261" s="8" t="s">
        <v>19</v>
      </c>
      <c r="H261" s="9">
        <v>0.00450906748531732</v>
      </c>
      <c r="I261" s="9">
        <v>157.845</v>
      </c>
      <c r="J261" s="9">
        <v>0.1623</v>
      </c>
      <c r="K261" s="9">
        <v>157.545</v>
      </c>
      <c r="L261" s="9">
        <v>0.1046</v>
      </c>
      <c r="M261" s="8" t="s">
        <v>45</v>
      </c>
    </row>
    <row r="262">
      <c r="A262" s="9">
        <v>157.93</v>
      </c>
      <c r="B262" s="9">
        <v>157.54</v>
      </c>
      <c r="C262" s="9">
        <v>0.149</v>
      </c>
      <c r="D262" s="9">
        <v>-0.07165581647999986</v>
      </c>
      <c r="E262" s="9">
        <v>264.82</v>
      </c>
      <c r="F262" s="10" t="s">
        <v>288</v>
      </c>
      <c r="G262" s="8" t="s">
        <v>96</v>
      </c>
      <c r="H262" s="9">
        <v>-0.11316603096686378</v>
      </c>
      <c r="I262" s="9">
        <v>157.995</v>
      </c>
      <c r="J262" s="9">
        <v>-0.0164</v>
      </c>
      <c r="K262" s="9">
        <v>157.545</v>
      </c>
      <c r="L262" s="9">
        <v>-0.2438</v>
      </c>
      <c r="M262" s="8" t="s">
        <v>42</v>
      </c>
    </row>
    <row r="263">
      <c r="A263" s="9">
        <v>156.36</v>
      </c>
      <c r="B263" s="9">
        <v>156.03</v>
      </c>
      <c r="C263" s="9">
        <v>0.149</v>
      </c>
      <c r="D263" s="9">
        <v>-0.06258236016000396</v>
      </c>
      <c r="E263" s="9">
        <v>612.65</v>
      </c>
      <c r="F263" s="10" t="s">
        <v>289</v>
      </c>
      <c r="G263" s="8" t="s">
        <v>96</v>
      </c>
      <c r="H263" s="9">
        <v>-0.0978537783461822</v>
      </c>
      <c r="I263" s="9">
        <v>156.385</v>
      </c>
      <c r="J263" s="9">
        <v>-0.0416</v>
      </c>
      <c r="K263" s="9">
        <v>156.025</v>
      </c>
      <c r="L263" s="9">
        <v>-0.2142</v>
      </c>
      <c r="M263" s="8" t="s">
        <v>42</v>
      </c>
    </row>
    <row r="264">
      <c r="A264" s="9">
        <v>155.77</v>
      </c>
      <c r="B264" s="9">
        <v>155.45</v>
      </c>
      <c r="C264" s="9">
        <v>0.149</v>
      </c>
      <c r="D264" s="9">
        <v>-0.06104193856000251</v>
      </c>
      <c r="E264" s="9">
        <v>75.38</v>
      </c>
      <c r="F264" s="10" t="s">
        <v>290</v>
      </c>
      <c r="G264" s="8" t="s">
        <v>96</v>
      </c>
      <c r="H264" s="9">
        <v>-0.0950850276949159</v>
      </c>
      <c r="I264" s="9">
        <v>155.785</v>
      </c>
      <c r="J264" s="9">
        <v>-0.0479</v>
      </c>
      <c r="K264" s="9">
        <v>155.455</v>
      </c>
      <c r="L264" s="9">
        <v>-0.2022</v>
      </c>
      <c r="M264" s="8" t="s">
        <v>42</v>
      </c>
    </row>
    <row r="265">
      <c r="A265" s="9">
        <v>156.8</v>
      </c>
      <c r="B265" s="9">
        <v>156.67</v>
      </c>
      <c r="C265" s="9">
        <v>0.149</v>
      </c>
      <c r="D265" s="9">
        <v>0.005915586080003976</v>
      </c>
      <c r="E265" s="9">
        <v>538.96</v>
      </c>
      <c r="F265" s="10" t="s">
        <v>291</v>
      </c>
      <c r="G265" s="8" t="s">
        <v>19</v>
      </c>
      <c r="H265" s="9">
        <v>0.009275638973446234</v>
      </c>
      <c r="I265" s="9">
        <v>156.965</v>
      </c>
      <c r="J265" s="9">
        <v>0.1629</v>
      </c>
      <c r="K265" s="9">
        <v>156.665</v>
      </c>
      <c r="L265" s="9">
        <v>0.1052</v>
      </c>
      <c r="M265" s="8" t="s">
        <v>45</v>
      </c>
    </row>
    <row r="266">
      <c r="A266" s="9">
        <v>157.12</v>
      </c>
      <c r="B266" s="9">
        <v>157.25</v>
      </c>
      <c r="C266" s="9">
        <v>0.149</v>
      </c>
      <c r="D266" s="9">
        <v>0.005882543839998533</v>
      </c>
      <c r="E266" s="9">
        <v>488.04</v>
      </c>
      <c r="F266" s="10" t="s">
        <v>292</v>
      </c>
      <c r="G266" s="8" t="s">
        <v>19</v>
      </c>
      <c r="H266" s="9">
        <v>0.009242652881405695</v>
      </c>
      <c r="I266" s="9">
        <v>157.245</v>
      </c>
      <c r="J266" s="9">
        <v>0.0219</v>
      </c>
      <c r="K266" s="9">
        <v>157.045</v>
      </c>
      <c r="L266" s="9">
        <v>-0.0477</v>
      </c>
      <c r="M266" s="8" t="s">
        <v>42</v>
      </c>
    </row>
    <row r="267">
      <c r="A267" s="9">
        <v>157.36</v>
      </c>
      <c r="B267" s="9">
        <v>157.68</v>
      </c>
      <c r="C267" s="9">
        <v>0.149</v>
      </c>
      <c r="D267" s="9">
        <v>-0.0611921305599914</v>
      </c>
      <c r="E267" s="9">
        <v>264.95</v>
      </c>
      <c r="F267" s="10" t="s">
        <v>293</v>
      </c>
      <c r="G267" s="8" t="s">
        <v>96</v>
      </c>
      <c r="H267" s="9">
        <v>-0.09629193664920246</v>
      </c>
      <c r="I267" s="9">
        <v>157.675</v>
      </c>
      <c r="J267" s="9">
        <v>0.2579</v>
      </c>
      <c r="K267" s="9">
        <v>157.305</v>
      </c>
      <c r="L267" s="9">
        <v>0.2002</v>
      </c>
      <c r="M267" s="8" t="s">
        <v>45</v>
      </c>
    </row>
    <row r="268">
      <c r="A268" s="9">
        <v>157.79</v>
      </c>
      <c r="B268" s="9">
        <v>157.93</v>
      </c>
      <c r="C268" s="9">
        <v>0.149</v>
      </c>
      <c r="D268" s="9">
        <v>0.007314827199998319</v>
      </c>
      <c r="E268" s="9">
        <v>449.34</v>
      </c>
      <c r="F268" s="10" t="s">
        <v>294</v>
      </c>
      <c r="G268" s="8" t="s">
        <v>19</v>
      </c>
      <c r="H268" s="9">
        <v>0.011542065838877347</v>
      </c>
      <c r="I268" s="9">
        <v>157.925</v>
      </c>
      <c r="J268" s="9">
        <v>0.0279</v>
      </c>
      <c r="K268" s="9">
        <v>157.695</v>
      </c>
      <c r="L268" s="9">
        <v>-0.0602</v>
      </c>
      <c r="M268" s="8" t="s">
        <v>42</v>
      </c>
    </row>
    <row r="269">
      <c r="A269" s="9">
        <v>157.88</v>
      </c>
      <c r="B269" s="9">
        <v>158.17</v>
      </c>
      <c r="C269" s="9">
        <v>0.149</v>
      </c>
      <c r="D269" s="9">
        <v>-0.05676611535999854</v>
      </c>
      <c r="E269" s="9">
        <v>1051.6</v>
      </c>
      <c r="F269" s="10" t="s">
        <v>295</v>
      </c>
      <c r="G269" s="8" t="s">
        <v>296</v>
      </c>
      <c r="H269" s="9">
        <v>-0.0896223429303657</v>
      </c>
      <c r="I269" s="9">
        <v>158.145</v>
      </c>
      <c r="J269" s="9">
        <v>0.2256</v>
      </c>
      <c r="K269" s="9">
        <v>157.785</v>
      </c>
      <c r="L269" s="9">
        <v>0.1678</v>
      </c>
      <c r="M269" s="8" t="s">
        <v>45</v>
      </c>
    </row>
    <row r="270">
      <c r="A270" s="9">
        <v>158.52</v>
      </c>
      <c r="B270" s="9">
        <v>158.38</v>
      </c>
      <c r="C270" s="9">
        <v>0.14</v>
      </c>
      <c r="D270" s="9">
        <v>0.006819769600003411</v>
      </c>
      <c r="E270" s="9">
        <v>96.21</v>
      </c>
      <c r="F270" s="10" t="s">
        <v>297</v>
      </c>
      <c r="G270" s="8" t="s">
        <v>19</v>
      </c>
      <c r="H270" s="9">
        <v>0.010810698769925409</v>
      </c>
      <c r="I270" s="9">
        <v>158.575</v>
      </c>
      <c r="J270" s="9">
        <v>0.0923</v>
      </c>
      <c r="K270" s="9">
        <v>158.395</v>
      </c>
      <c r="L270" s="9">
        <v>0.0347</v>
      </c>
      <c r="M270" s="8" t="s">
        <v>45</v>
      </c>
    </row>
    <row r="271">
      <c r="A271" s="9">
        <v>158.4</v>
      </c>
      <c r="B271" s="9">
        <v>158.05</v>
      </c>
      <c r="C271" s="9">
        <v>0.14</v>
      </c>
      <c r="D271" s="9">
        <v>-0.06176632000000026</v>
      </c>
      <c r="E271" s="9">
        <v>228.18</v>
      </c>
      <c r="F271" s="10" t="s">
        <v>298</v>
      </c>
      <c r="G271" s="8" t="s">
        <v>96</v>
      </c>
      <c r="H271" s="9">
        <v>-0.09783785088000042</v>
      </c>
      <c r="I271" s="9">
        <v>158.4</v>
      </c>
      <c r="J271" s="9">
        <v>-0.0576</v>
      </c>
      <c r="K271" s="9">
        <v>158.065</v>
      </c>
      <c r="L271" s="9">
        <v>-0.2115</v>
      </c>
      <c r="M271" s="8" t="s">
        <v>42</v>
      </c>
    </row>
    <row r="272">
      <c r="A272" s="9">
        <v>158.41</v>
      </c>
      <c r="B272" s="9">
        <v>157.8</v>
      </c>
      <c r="C272" s="9">
        <v>0.14</v>
      </c>
      <c r="D272" s="9">
        <v>-0.09816188479999965</v>
      </c>
      <c r="E272" s="9">
        <v>376.15</v>
      </c>
      <c r="F272" s="10" t="s">
        <v>299</v>
      </c>
      <c r="G272" s="8" t="s">
        <v>96</v>
      </c>
      <c r="H272" s="9">
        <v>-0.15549824171167945</v>
      </c>
      <c r="I272" s="9">
        <v>158.41</v>
      </c>
      <c r="J272" s="9">
        <v>-0.0576</v>
      </c>
      <c r="K272" s="9">
        <v>157.925</v>
      </c>
      <c r="L272" s="9">
        <v>-0.3062</v>
      </c>
      <c r="M272" s="8" t="s">
        <v>42</v>
      </c>
    </row>
    <row r="273">
      <c r="A273" s="9">
        <v>158.22</v>
      </c>
      <c r="B273" s="9">
        <v>158.36</v>
      </c>
      <c r="C273" s="9">
        <v>0.14</v>
      </c>
      <c r="D273" s="9">
        <v>0.006838316800003241</v>
      </c>
      <c r="E273" s="9">
        <v>54.51</v>
      </c>
      <c r="F273" s="10" t="s">
        <v>300</v>
      </c>
      <c r="G273" s="8" t="s">
        <v>19</v>
      </c>
      <c r="H273" s="9">
        <v>0.01081958484096513</v>
      </c>
      <c r="I273" s="9">
        <v>158.365</v>
      </c>
      <c r="J273" s="9">
        <v>0.034</v>
      </c>
      <c r="K273" s="9">
        <v>158.215</v>
      </c>
      <c r="L273" s="9">
        <v>-0.0032</v>
      </c>
      <c r="M273" s="8" t="s">
        <v>42</v>
      </c>
    </row>
    <row r="274">
      <c r="A274" s="9">
        <v>158.86</v>
      </c>
      <c r="B274" s="9">
        <v>159.2</v>
      </c>
      <c r="C274" s="9">
        <v>0.14</v>
      </c>
      <c r="D274" s="9">
        <v>-0.0604173247999924</v>
      </c>
      <c r="E274" s="9">
        <v>490.51</v>
      </c>
      <c r="F274" s="10" t="s">
        <v>301</v>
      </c>
      <c r="G274" s="8" t="s">
        <v>96</v>
      </c>
      <c r="H274" s="9">
        <v>-0.09597896217726794</v>
      </c>
      <c r="I274" s="9">
        <v>159.185</v>
      </c>
      <c r="J274" s="9">
        <v>0.2623</v>
      </c>
      <c r="K274" s="9">
        <v>158.845</v>
      </c>
      <c r="L274" s="9">
        <v>0.2046</v>
      </c>
      <c r="M274" s="8" t="s">
        <v>45</v>
      </c>
    </row>
    <row r="275">
      <c r="A275" s="9">
        <v>159.32</v>
      </c>
      <c r="B275" s="9">
        <v>159.47</v>
      </c>
      <c r="C275" s="9">
        <v>0.14</v>
      </c>
      <c r="D275" s="9">
        <v>0.008149411200001566</v>
      </c>
      <c r="E275" s="9">
        <v>80.71</v>
      </c>
      <c r="F275" s="10" t="s">
        <v>302</v>
      </c>
      <c r="G275" s="8" t="s">
        <v>19</v>
      </c>
      <c r="H275" s="9">
        <v>0.012983641923842494</v>
      </c>
      <c r="I275" s="9">
        <v>159.465</v>
      </c>
      <c r="J275" s="9">
        <v>0.0334</v>
      </c>
      <c r="K275" s="9">
        <v>159.315</v>
      </c>
      <c r="L275" s="9">
        <v>-0.0031</v>
      </c>
      <c r="M275" s="8" t="s">
        <v>42</v>
      </c>
    </row>
    <row r="276">
      <c r="A276" s="9">
        <v>159.0</v>
      </c>
      <c r="B276" s="9">
        <v>158.84</v>
      </c>
      <c r="C276" s="9">
        <v>0.14</v>
      </c>
      <c r="D276" s="9">
        <v>0.009581465600000172</v>
      </c>
      <c r="E276" s="9">
        <v>91.16</v>
      </c>
      <c r="F276" s="10" t="s">
        <v>303</v>
      </c>
      <c r="G276" s="8" t="s">
        <v>19</v>
      </c>
      <c r="H276" s="9">
        <v>0.015234530304000274</v>
      </c>
      <c r="I276" s="9">
        <v>159.005</v>
      </c>
      <c r="J276" s="9">
        <v>0.0608</v>
      </c>
      <c r="K276" s="9">
        <v>158.855</v>
      </c>
      <c r="L276" s="9">
        <v>0.0031</v>
      </c>
      <c r="M276" s="8" t="s">
        <v>45</v>
      </c>
    </row>
    <row r="277">
      <c r="A277" s="9">
        <v>159.13</v>
      </c>
      <c r="B277" s="9">
        <v>159.26</v>
      </c>
      <c r="C277" s="9">
        <v>0.14</v>
      </c>
      <c r="D277" s="9">
        <v>0.005365135999998216</v>
      </c>
      <c r="E277" s="9">
        <v>38.86</v>
      </c>
      <c r="F277" s="10" t="s">
        <v>304</v>
      </c>
      <c r="G277" s="8" t="s">
        <v>19</v>
      </c>
      <c r="H277" s="9">
        <v>0.00853754091679716</v>
      </c>
      <c r="I277" s="9">
        <v>159.265</v>
      </c>
      <c r="J277" s="9">
        <v>0.0272</v>
      </c>
      <c r="K277" s="9">
        <v>159.105</v>
      </c>
      <c r="L277" s="9">
        <v>-0.0157</v>
      </c>
      <c r="M277" s="8" t="s">
        <v>42</v>
      </c>
    </row>
    <row r="278">
      <c r="A278" s="9">
        <v>159.04</v>
      </c>
      <c r="B278" s="9">
        <v>159.39</v>
      </c>
      <c r="C278" s="9">
        <v>0.14</v>
      </c>
      <c r="D278" s="9">
        <v>-0.061832041599995335</v>
      </c>
      <c r="E278" s="9">
        <v>191.74</v>
      </c>
      <c r="F278" s="10" t="s">
        <v>305</v>
      </c>
      <c r="G278" s="8" t="s">
        <v>96</v>
      </c>
      <c r="H278" s="9">
        <v>-0.09833767896063257</v>
      </c>
      <c r="I278" s="9">
        <v>159.365</v>
      </c>
      <c r="J278" s="9">
        <v>0.2621</v>
      </c>
      <c r="K278" s="9">
        <v>159.025</v>
      </c>
      <c r="L278" s="9">
        <v>0.2044</v>
      </c>
      <c r="M278" s="8" t="s">
        <v>45</v>
      </c>
    </row>
    <row r="279">
      <c r="A279" s="9">
        <v>159.02</v>
      </c>
      <c r="B279" s="9">
        <v>158.9</v>
      </c>
      <c r="C279" s="9">
        <v>0.14</v>
      </c>
      <c r="D279" s="9">
        <v>0.0039790464000013515</v>
      </c>
      <c r="E279" s="9">
        <v>33.41</v>
      </c>
      <c r="F279" s="10" t="s">
        <v>306</v>
      </c>
      <c r="G279" s="8" t="s">
        <v>19</v>
      </c>
      <c r="H279" s="9">
        <v>0.00632747958528215</v>
      </c>
      <c r="I279" s="9">
        <v>159.035</v>
      </c>
      <c r="J279" s="9">
        <v>0.0671</v>
      </c>
      <c r="K279" s="9">
        <v>158.895</v>
      </c>
      <c r="L279" s="9">
        <v>0.0094</v>
      </c>
      <c r="M279" s="8" t="s">
        <v>45</v>
      </c>
    </row>
    <row r="280">
      <c r="A280" s="9">
        <v>159.45</v>
      </c>
      <c r="B280" s="9">
        <v>159.56</v>
      </c>
      <c r="C280" s="9">
        <v>0.14</v>
      </c>
      <c r="D280" s="9">
        <v>0.002539734400002658</v>
      </c>
      <c r="E280" s="9">
        <v>33.25</v>
      </c>
      <c r="F280" s="10" t="s">
        <v>307</v>
      </c>
      <c r="G280" s="8" t="s">
        <v>19</v>
      </c>
      <c r="H280" s="9">
        <v>0.004049606500804237</v>
      </c>
      <c r="I280" s="9">
        <v>159.575</v>
      </c>
      <c r="J280" s="9">
        <v>0.0208</v>
      </c>
      <c r="K280" s="9">
        <v>159.445</v>
      </c>
      <c r="L280" s="9">
        <v>-0.0031</v>
      </c>
      <c r="M280" s="8" t="s">
        <v>42</v>
      </c>
    </row>
    <row r="281">
      <c r="A281" s="9">
        <v>159.27</v>
      </c>
      <c r="B281" s="9">
        <v>159.13</v>
      </c>
      <c r="C281" s="9">
        <v>0.14</v>
      </c>
      <c r="D281" s="9">
        <v>0.006759289600001495</v>
      </c>
      <c r="E281" s="9">
        <v>12.57</v>
      </c>
      <c r="F281" s="10" t="s">
        <v>308</v>
      </c>
      <c r="G281" s="8" t="s">
        <v>19</v>
      </c>
      <c r="H281" s="9">
        <v>0.01076552054592238</v>
      </c>
      <c r="I281" s="9">
        <v>159.275</v>
      </c>
      <c r="J281" s="9">
        <v>0.0608</v>
      </c>
      <c r="K281" s="9">
        <v>159.125</v>
      </c>
      <c r="L281" s="9">
        <v>0.0031</v>
      </c>
      <c r="M281" s="8" t="s">
        <v>45</v>
      </c>
    </row>
    <row r="282">
      <c r="A282" s="9">
        <v>159.57</v>
      </c>
      <c r="B282" s="9">
        <v>159.69</v>
      </c>
      <c r="C282" s="9">
        <v>0.14</v>
      </c>
      <c r="D282" s="9">
        <v>0.003929855999999177</v>
      </c>
      <c r="E282" s="9">
        <v>86.39</v>
      </c>
      <c r="F282" s="10" t="s">
        <v>309</v>
      </c>
      <c r="G282" s="8" t="s">
        <v>19</v>
      </c>
      <c r="H282" s="9">
        <v>0.006270871219198686</v>
      </c>
      <c r="I282" s="9">
        <v>159.695</v>
      </c>
      <c r="J282" s="9">
        <v>0.0207</v>
      </c>
      <c r="K282" s="9">
        <v>159.525</v>
      </c>
      <c r="L282" s="9">
        <v>-0.0282</v>
      </c>
      <c r="M282" s="8" t="s">
        <v>42</v>
      </c>
    </row>
    <row r="283">
      <c r="A283" s="9">
        <v>159.27</v>
      </c>
      <c r="B283" s="9">
        <v>159.14</v>
      </c>
      <c r="C283" s="9">
        <v>0.14</v>
      </c>
      <c r="D283" s="9">
        <v>0.0053590880000058405</v>
      </c>
      <c r="E283" s="9">
        <v>28.49</v>
      </c>
      <c r="F283" s="10" t="s">
        <v>310</v>
      </c>
      <c r="G283" s="8" t="s">
        <v>19</v>
      </c>
      <c r="H283" s="9">
        <v>0.008535419457609302</v>
      </c>
      <c r="I283" s="9">
        <v>159.285</v>
      </c>
      <c r="J283" s="9">
        <v>0.0671</v>
      </c>
      <c r="K283" s="9">
        <v>159.135</v>
      </c>
      <c r="L283" s="9">
        <v>0.0094</v>
      </c>
      <c r="M283" s="8" t="s">
        <v>45</v>
      </c>
    </row>
    <row r="284">
      <c r="A284" s="9">
        <v>157.84</v>
      </c>
      <c r="B284" s="9">
        <v>157.99</v>
      </c>
      <c r="C284" s="9">
        <v>0.14</v>
      </c>
      <c r="D284" s="9">
        <v>0.008268758399999854</v>
      </c>
      <c r="E284" s="9">
        <v>107.37</v>
      </c>
      <c r="F284" s="10" t="s">
        <v>311</v>
      </c>
      <c r="G284" s="8" t="s">
        <v>19</v>
      </c>
      <c r="H284" s="9">
        <v>0.01305140825855977</v>
      </c>
      <c r="I284" s="9">
        <v>157.965</v>
      </c>
      <c r="J284" s="9">
        <v>0.0216</v>
      </c>
      <c r="K284" s="9">
        <v>157.775</v>
      </c>
      <c r="L284" s="9">
        <v>-0.0412</v>
      </c>
      <c r="M284" s="8" t="s">
        <v>42</v>
      </c>
    </row>
    <row r="285">
      <c r="F285" s="13"/>
    </row>
    <row r="286">
      <c r="F286" s="13"/>
    </row>
    <row r="287">
      <c r="F287" s="13"/>
    </row>
    <row r="288">
      <c r="F288" s="13"/>
    </row>
    <row r="289">
      <c r="F289" s="13"/>
    </row>
    <row r="290">
      <c r="F290" s="13"/>
    </row>
    <row r="291">
      <c r="F291" s="13"/>
    </row>
    <row r="292">
      <c r="F292" s="13"/>
    </row>
    <row r="293">
      <c r="F293" s="13"/>
    </row>
    <row r="294">
      <c r="F294" s="13"/>
    </row>
    <row r="295">
      <c r="F295" s="13"/>
    </row>
    <row r="296">
      <c r="F296" s="13"/>
    </row>
    <row r="297">
      <c r="F297" s="13"/>
    </row>
    <row r="298">
      <c r="F298" s="13"/>
    </row>
    <row r="299">
      <c r="F299" s="13"/>
    </row>
    <row r="300">
      <c r="F300" s="13"/>
    </row>
    <row r="301">
      <c r="F301" s="13"/>
    </row>
    <row r="302">
      <c r="F302" s="13"/>
    </row>
    <row r="303">
      <c r="F303" s="13"/>
    </row>
    <row r="304">
      <c r="F304" s="13"/>
    </row>
    <row r="305">
      <c r="F305" s="13"/>
    </row>
    <row r="306">
      <c r="F306" s="13"/>
    </row>
    <row r="307">
      <c r="F307" s="13"/>
    </row>
    <row r="308">
      <c r="F308" s="13"/>
    </row>
    <row r="309">
      <c r="F309" s="13"/>
    </row>
    <row r="310">
      <c r="F310" s="13"/>
    </row>
    <row r="311">
      <c r="F311" s="13"/>
    </row>
    <row r="312">
      <c r="F312" s="13"/>
    </row>
    <row r="313">
      <c r="F313" s="13"/>
    </row>
    <row r="314">
      <c r="F314" s="13"/>
    </row>
    <row r="315">
      <c r="F315" s="13"/>
    </row>
    <row r="316">
      <c r="F316" s="13"/>
    </row>
    <row r="317">
      <c r="F317" s="13"/>
    </row>
    <row r="318">
      <c r="F318" s="13"/>
    </row>
    <row r="319">
      <c r="F319" s="13"/>
    </row>
    <row r="320">
      <c r="F320" s="13"/>
    </row>
    <row r="321">
      <c r="F321" s="13"/>
    </row>
    <row r="322">
      <c r="F322" s="13"/>
    </row>
    <row r="323">
      <c r="F323" s="13"/>
    </row>
    <row r="324">
      <c r="F324" s="13"/>
    </row>
    <row r="325">
      <c r="F325" s="13"/>
    </row>
    <row r="326">
      <c r="F326" s="13"/>
    </row>
    <row r="327">
      <c r="F327" s="13"/>
    </row>
    <row r="328">
      <c r="F328" s="13"/>
    </row>
    <row r="329">
      <c r="F329" s="13"/>
    </row>
    <row r="330">
      <c r="F330" s="13"/>
    </row>
    <row r="331">
      <c r="F331" s="13"/>
    </row>
    <row r="332">
      <c r="F332" s="13"/>
    </row>
    <row r="333">
      <c r="F333" s="13"/>
    </row>
    <row r="334">
      <c r="F334" s="13"/>
    </row>
    <row r="335">
      <c r="F335" s="13"/>
    </row>
    <row r="336">
      <c r="F336" s="13"/>
    </row>
    <row r="337">
      <c r="F337" s="13"/>
    </row>
    <row r="338">
      <c r="F338" s="13"/>
    </row>
    <row r="339">
      <c r="F339" s="13"/>
    </row>
    <row r="340">
      <c r="F340" s="13"/>
    </row>
    <row r="341">
      <c r="F341" s="13"/>
    </row>
    <row r="342">
      <c r="F342" s="13"/>
    </row>
    <row r="343">
      <c r="F343" s="13"/>
    </row>
    <row r="344">
      <c r="F344" s="13"/>
    </row>
    <row r="345">
      <c r="F345" s="13"/>
    </row>
    <row r="346">
      <c r="F346" s="13"/>
    </row>
    <row r="347">
      <c r="F347" s="13"/>
    </row>
    <row r="348">
      <c r="F348" s="13"/>
    </row>
    <row r="349">
      <c r="F349" s="13"/>
    </row>
    <row r="350">
      <c r="F350" s="13"/>
    </row>
    <row r="351">
      <c r="F351" s="13"/>
    </row>
    <row r="352">
      <c r="F352" s="13"/>
    </row>
    <row r="353">
      <c r="F353" s="13"/>
    </row>
    <row r="354">
      <c r="F354" s="13"/>
    </row>
    <row r="355">
      <c r="F355" s="13"/>
    </row>
    <row r="356">
      <c r="F356" s="13"/>
    </row>
    <row r="357">
      <c r="F357" s="13"/>
    </row>
    <row r="358">
      <c r="F358" s="13"/>
    </row>
    <row r="359">
      <c r="F359" s="13"/>
    </row>
    <row r="360">
      <c r="F360" s="13"/>
    </row>
    <row r="361">
      <c r="F361" s="13"/>
    </row>
    <row r="362">
      <c r="F362" s="13"/>
    </row>
    <row r="363">
      <c r="F363" s="13"/>
    </row>
    <row r="364">
      <c r="F364" s="13"/>
    </row>
    <row r="365">
      <c r="F365" s="13"/>
    </row>
    <row r="366">
      <c r="F366" s="13"/>
    </row>
    <row r="367">
      <c r="F367" s="13"/>
    </row>
    <row r="368">
      <c r="F368" s="13"/>
    </row>
    <row r="369">
      <c r="F369" s="13"/>
    </row>
    <row r="370">
      <c r="F370" s="13"/>
    </row>
    <row r="371">
      <c r="F371" s="13"/>
    </row>
    <row r="372">
      <c r="F372" s="13"/>
    </row>
    <row r="373">
      <c r="F373" s="13"/>
    </row>
    <row r="374">
      <c r="F374" s="13"/>
    </row>
    <row r="375">
      <c r="F375" s="13"/>
    </row>
    <row r="376">
      <c r="F376" s="13"/>
    </row>
    <row r="377">
      <c r="F377" s="13"/>
    </row>
    <row r="378">
      <c r="F378" s="13"/>
    </row>
    <row r="379">
      <c r="F379" s="13"/>
    </row>
    <row r="380">
      <c r="F380" s="13"/>
    </row>
    <row r="381">
      <c r="F381" s="13"/>
    </row>
    <row r="382">
      <c r="F382" s="13"/>
    </row>
    <row r="383">
      <c r="F383" s="13"/>
    </row>
    <row r="384">
      <c r="F384" s="13"/>
    </row>
    <row r="385">
      <c r="F385" s="13"/>
    </row>
    <row r="386">
      <c r="F386" s="13"/>
    </row>
    <row r="387">
      <c r="F387" s="13"/>
    </row>
    <row r="388">
      <c r="F388" s="13"/>
    </row>
    <row r="389">
      <c r="F389" s="13"/>
    </row>
    <row r="390">
      <c r="F390" s="13"/>
    </row>
    <row r="391">
      <c r="F391" s="13"/>
    </row>
    <row r="392">
      <c r="F392" s="13"/>
    </row>
    <row r="393">
      <c r="F393" s="13"/>
    </row>
    <row r="394">
      <c r="F394" s="13"/>
    </row>
    <row r="395">
      <c r="F395" s="13"/>
    </row>
    <row r="396">
      <c r="F396" s="13"/>
    </row>
    <row r="397">
      <c r="F397" s="13"/>
    </row>
    <row r="398">
      <c r="F398" s="13"/>
    </row>
    <row r="399">
      <c r="F399" s="13"/>
    </row>
    <row r="400">
      <c r="F400" s="13"/>
    </row>
    <row r="401">
      <c r="F401" s="13"/>
    </row>
    <row r="402">
      <c r="F402" s="13"/>
    </row>
    <row r="403">
      <c r="F403" s="13"/>
    </row>
    <row r="404">
      <c r="F404" s="13"/>
    </row>
    <row r="405">
      <c r="F405" s="13"/>
    </row>
    <row r="406">
      <c r="F406" s="13"/>
    </row>
    <row r="407">
      <c r="F407" s="13"/>
    </row>
    <row r="408">
      <c r="F408" s="13"/>
    </row>
    <row r="409">
      <c r="F409" s="13"/>
    </row>
    <row r="410">
      <c r="F410" s="13"/>
    </row>
    <row r="411">
      <c r="F411" s="13"/>
    </row>
    <row r="412">
      <c r="F412" s="13"/>
    </row>
    <row r="413">
      <c r="F413" s="13"/>
    </row>
    <row r="414">
      <c r="F414" s="13"/>
    </row>
    <row r="415">
      <c r="F415" s="13"/>
    </row>
    <row r="416">
      <c r="F416" s="13"/>
    </row>
    <row r="417">
      <c r="F417" s="13"/>
    </row>
    <row r="418">
      <c r="F418" s="13"/>
    </row>
    <row r="419">
      <c r="F419" s="13"/>
    </row>
    <row r="420">
      <c r="F420" s="13"/>
    </row>
    <row r="421">
      <c r="F421" s="13"/>
    </row>
    <row r="422">
      <c r="F422" s="13"/>
    </row>
    <row r="423">
      <c r="F423" s="13"/>
    </row>
    <row r="424">
      <c r="F424" s="13"/>
    </row>
    <row r="425">
      <c r="F425" s="13"/>
    </row>
    <row r="426">
      <c r="F426" s="13"/>
    </row>
    <row r="427">
      <c r="F427" s="13"/>
    </row>
    <row r="428">
      <c r="F428" s="13"/>
    </row>
    <row r="429">
      <c r="F429" s="13"/>
    </row>
    <row r="430">
      <c r="F430" s="13"/>
    </row>
    <row r="431">
      <c r="F431" s="13"/>
    </row>
    <row r="432">
      <c r="F432" s="13"/>
    </row>
    <row r="433">
      <c r="F433" s="13"/>
    </row>
    <row r="434">
      <c r="F434" s="13"/>
    </row>
    <row r="435">
      <c r="F435" s="13"/>
    </row>
    <row r="436">
      <c r="F436" s="13"/>
    </row>
    <row r="437">
      <c r="F437" s="13"/>
    </row>
    <row r="438">
      <c r="F438" s="13"/>
    </row>
    <row r="439">
      <c r="F439" s="13"/>
    </row>
    <row r="440">
      <c r="F440" s="13"/>
    </row>
    <row r="441">
      <c r="F441" s="13"/>
    </row>
    <row r="442">
      <c r="F442" s="13"/>
    </row>
    <row r="443">
      <c r="F443" s="13"/>
    </row>
    <row r="444">
      <c r="F444" s="13"/>
    </row>
    <row r="445">
      <c r="F445" s="13"/>
    </row>
    <row r="446">
      <c r="F446" s="13"/>
    </row>
    <row r="447">
      <c r="F447" s="13"/>
    </row>
    <row r="448">
      <c r="F448" s="13"/>
    </row>
    <row r="449">
      <c r="F449" s="13"/>
    </row>
    <row r="450">
      <c r="F450" s="13"/>
    </row>
    <row r="451">
      <c r="F451" s="13"/>
    </row>
    <row r="452">
      <c r="F452" s="13"/>
    </row>
    <row r="453">
      <c r="F453" s="13"/>
    </row>
    <row r="454">
      <c r="F454" s="13"/>
    </row>
    <row r="455">
      <c r="F455" s="13"/>
    </row>
    <row r="456">
      <c r="F456" s="13"/>
    </row>
    <row r="457">
      <c r="F457" s="13"/>
    </row>
    <row r="458">
      <c r="F458" s="13"/>
    </row>
    <row r="459">
      <c r="F459" s="13"/>
    </row>
    <row r="460">
      <c r="F460" s="13"/>
    </row>
    <row r="461">
      <c r="F461" s="13"/>
    </row>
    <row r="462">
      <c r="F462" s="13"/>
    </row>
    <row r="463">
      <c r="F463" s="13"/>
    </row>
    <row r="464">
      <c r="F464" s="13"/>
    </row>
    <row r="465">
      <c r="F465" s="13"/>
    </row>
    <row r="466">
      <c r="F466" s="13"/>
    </row>
    <row r="467">
      <c r="F467" s="13"/>
    </row>
    <row r="468">
      <c r="F468" s="13"/>
    </row>
    <row r="469">
      <c r="F469" s="13"/>
    </row>
    <row r="470">
      <c r="F470" s="13"/>
    </row>
    <row r="471">
      <c r="F471" s="13"/>
    </row>
    <row r="472">
      <c r="F472" s="13"/>
    </row>
    <row r="473">
      <c r="F473" s="13"/>
    </row>
    <row r="474">
      <c r="F474" s="13"/>
    </row>
    <row r="475">
      <c r="F475" s="13"/>
    </row>
    <row r="476">
      <c r="F476" s="13"/>
    </row>
    <row r="477">
      <c r="F477" s="13"/>
    </row>
    <row r="478">
      <c r="F478" s="13"/>
    </row>
    <row r="479">
      <c r="F479" s="13"/>
    </row>
    <row r="480">
      <c r="F480" s="13"/>
    </row>
    <row r="481">
      <c r="F481" s="13"/>
    </row>
    <row r="482">
      <c r="F482" s="13"/>
    </row>
    <row r="483">
      <c r="F483" s="13"/>
    </row>
    <row r="484">
      <c r="F484" s="13"/>
    </row>
    <row r="485">
      <c r="F485" s="13"/>
    </row>
    <row r="486">
      <c r="F486" s="13"/>
    </row>
    <row r="487">
      <c r="F487" s="13"/>
    </row>
    <row r="488">
      <c r="F488" s="13"/>
    </row>
    <row r="489">
      <c r="F489" s="13"/>
    </row>
    <row r="490">
      <c r="F490" s="13"/>
    </row>
    <row r="491">
      <c r="F491" s="13"/>
    </row>
    <row r="492">
      <c r="F492" s="13"/>
    </row>
    <row r="493">
      <c r="F493" s="13"/>
    </row>
    <row r="494">
      <c r="F494" s="13"/>
    </row>
    <row r="495">
      <c r="F495" s="13"/>
    </row>
    <row r="496">
      <c r="F496" s="13"/>
    </row>
    <row r="497">
      <c r="F497" s="13"/>
    </row>
    <row r="498">
      <c r="F498" s="13"/>
    </row>
    <row r="499">
      <c r="F499" s="13"/>
    </row>
    <row r="500">
      <c r="F500" s="13"/>
    </row>
    <row r="501">
      <c r="F501" s="13"/>
    </row>
    <row r="502">
      <c r="F502" s="13"/>
    </row>
    <row r="503">
      <c r="F503" s="13"/>
    </row>
    <row r="504">
      <c r="F504" s="13"/>
    </row>
    <row r="505">
      <c r="F505" s="13"/>
    </row>
    <row r="506">
      <c r="F506" s="13"/>
    </row>
    <row r="507">
      <c r="F507" s="13"/>
    </row>
    <row r="508">
      <c r="F508" s="13"/>
    </row>
    <row r="509">
      <c r="F509" s="13"/>
    </row>
    <row r="510">
      <c r="F510" s="13"/>
    </row>
    <row r="511">
      <c r="F511" s="13"/>
    </row>
    <row r="512">
      <c r="F512" s="13"/>
    </row>
    <row r="513">
      <c r="F513" s="13"/>
    </row>
    <row r="514">
      <c r="F514" s="13"/>
    </row>
    <row r="515">
      <c r="F515" s="13"/>
    </row>
    <row r="516">
      <c r="F516" s="13"/>
    </row>
    <row r="517">
      <c r="F517" s="13"/>
    </row>
    <row r="518">
      <c r="F518" s="13"/>
    </row>
    <row r="519">
      <c r="F519" s="13"/>
    </row>
    <row r="520">
      <c r="F520" s="13"/>
    </row>
    <row r="521">
      <c r="F521" s="13"/>
    </row>
    <row r="522">
      <c r="F522" s="13"/>
    </row>
    <row r="523">
      <c r="F523" s="13"/>
    </row>
    <row r="524">
      <c r="F524" s="13"/>
    </row>
    <row r="525">
      <c r="F525" s="13"/>
    </row>
    <row r="526">
      <c r="F526" s="13"/>
    </row>
    <row r="527">
      <c r="F527" s="13"/>
    </row>
    <row r="528">
      <c r="F528" s="13"/>
    </row>
    <row r="529">
      <c r="F529" s="13"/>
    </row>
    <row r="530">
      <c r="F530" s="13"/>
    </row>
    <row r="531">
      <c r="F531" s="13"/>
    </row>
    <row r="532">
      <c r="F532" s="13"/>
    </row>
    <row r="533">
      <c r="F533" s="13"/>
    </row>
    <row r="534">
      <c r="F534" s="13"/>
    </row>
    <row r="535">
      <c r="F535" s="13"/>
    </row>
    <row r="536">
      <c r="F536" s="13"/>
    </row>
    <row r="537">
      <c r="F537" s="13"/>
    </row>
    <row r="538">
      <c r="F538" s="13"/>
    </row>
    <row r="539">
      <c r="F539" s="13"/>
    </row>
    <row r="540">
      <c r="F540" s="13"/>
    </row>
    <row r="541">
      <c r="F541" s="13"/>
    </row>
    <row r="542">
      <c r="F542" s="13"/>
    </row>
    <row r="543">
      <c r="F543" s="13"/>
    </row>
    <row r="544">
      <c r="F544" s="13"/>
    </row>
    <row r="545">
      <c r="F545" s="13"/>
    </row>
    <row r="546">
      <c r="F546" s="13"/>
    </row>
    <row r="547">
      <c r="F547" s="13"/>
    </row>
    <row r="548">
      <c r="F548" s="13"/>
    </row>
    <row r="549">
      <c r="F549" s="13"/>
    </row>
    <row r="550">
      <c r="F550" s="13"/>
    </row>
    <row r="551">
      <c r="F551" s="13"/>
    </row>
    <row r="552">
      <c r="F552" s="13"/>
    </row>
    <row r="553">
      <c r="F553" s="13"/>
    </row>
    <row r="554">
      <c r="F554" s="13"/>
    </row>
    <row r="555">
      <c r="F555" s="13"/>
    </row>
    <row r="556">
      <c r="F556" s="13"/>
    </row>
    <row r="557">
      <c r="F557" s="13"/>
    </row>
    <row r="558">
      <c r="F558" s="13"/>
    </row>
    <row r="559">
      <c r="F559" s="13"/>
    </row>
    <row r="560">
      <c r="F560" s="13"/>
    </row>
    <row r="561">
      <c r="F561" s="13"/>
    </row>
    <row r="562">
      <c r="F562" s="13"/>
    </row>
    <row r="563">
      <c r="F563" s="13"/>
    </row>
    <row r="564">
      <c r="F564" s="13"/>
    </row>
    <row r="565">
      <c r="F565" s="13"/>
    </row>
    <row r="566">
      <c r="F566" s="13"/>
    </row>
    <row r="567">
      <c r="F567" s="13"/>
    </row>
    <row r="568">
      <c r="F568" s="13"/>
    </row>
    <row r="569">
      <c r="F569" s="13"/>
    </row>
    <row r="570">
      <c r="F570" s="13"/>
    </row>
    <row r="571">
      <c r="F571" s="13"/>
    </row>
    <row r="572">
      <c r="F572" s="13"/>
    </row>
    <row r="573">
      <c r="F573" s="13"/>
    </row>
    <row r="574">
      <c r="F574" s="13"/>
    </row>
    <row r="575">
      <c r="F575" s="13"/>
    </row>
    <row r="576">
      <c r="F576" s="13"/>
    </row>
    <row r="577">
      <c r="F577" s="13"/>
    </row>
    <row r="578">
      <c r="F578" s="13"/>
    </row>
    <row r="579">
      <c r="F579" s="13"/>
    </row>
    <row r="580">
      <c r="F580" s="13"/>
    </row>
    <row r="581">
      <c r="F581" s="13"/>
    </row>
    <row r="582">
      <c r="F582" s="13"/>
    </row>
    <row r="583">
      <c r="F583" s="13"/>
    </row>
    <row r="584">
      <c r="F584" s="13"/>
    </row>
    <row r="585">
      <c r="F585" s="13"/>
    </row>
    <row r="586">
      <c r="F586" s="13"/>
    </row>
    <row r="587">
      <c r="F587" s="13"/>
    </row>
    <row r="588">
      <c r="F588" s="13"/>
    </row>
    <row r="589">
      <c r="F589" s="13"/>
    </row>
    <row r="590">
      <c r="F590" s="13"/>
    </row>
    <row r="591">
      <c r="F591" s="13"/>
    </row>
    <row r="592">
      <c r="F592" s="13"/>
    </row>
    <row r="593">
      <c r="F593" s="13"/>
    </row>
    <row r="594">
      <c r="F594" s="13"/>
    </row>
    <row r="595">
      <c r="F595" s="13"/>
    </row>
    <row r="596">
      <c r="F596" s="13"/>
    </row>
    <row r="597">
      <c r="F597" s="13"/>
    </row>
    <row r="598">
      <c r="F598" s="13"/>
    </row>
    <row r="599">
      <c r="F599" s="13"/>
    </row>
    <row r="600">
      <c r="F600" s="13"/>
    </row>
    <row r="601">
      <c r="F601" s="13"/>
    </row>
    <row r="602">
      <c r="F602" s="13"/>
    </row>
    <row r="603">
      <c r="F603" s="13"/>
    </row>
    <row r="604">
      <c r="F604" s="13"/>
    </row>
    <row r="605">
      <c r="F605" s="13"/>
    </row>
    <row r="606">
      <c r="F606" s="13"/>
    </row>
    <row r="607">
      <c r="F607" s="13"/>
    </row>
    <row r="608">
      <c r="F608" s="13"/>
    </row>
    <row r="609">
      <c r="F609" s="13"/>
    </row>
    <row r="610">
      <c r="F610" s="13"/>
    </row>
    <row r="611">
      <c r="F611" s="13"/>
    </row>
    <row r="612">
      <c r="F612" s="13"/>
    </row>
    <row r="613">
      <c r="F613" s="13"/>
    </row>
    <row r="614">
      <c r="F614" s="13"/>
    </row>
    <row r="615">
      <c r="F615" s="13"/>
    </row>
    <row r="616">
      <c r="F616" s="13"/>
    </row>
    <row r="617">
      <c r="F617" s="13"/>
    </row>
    <row r="618">
      <c r="F618" s="13"/>
    </row>
    <row r="619">
      <c r="F619" s="13"/>
    </row>
    <row r="620">
      <c r="F620" s="13"/>
    </row>
    <row r="621">
      <c r="F621" s="13"/>
    </row>
    <row r="622">
      <c r="F622" s="13"/>
    </row>
    <row r="623">
      <c r="F623" s="13"/>
    </row>
    <row r="624">
      <c r="F624" s="13"/>
    </row>
    <row r="625">
      <c r="F625" s="13"/>
    </row>
    <row r="626">
      <c r="F626" s="13"/>
    </row>
    <row r="627">
      <c r="F627" s="13"/>
    </row>
    <row r="628">
      <c r="F628" s="13"/>
    </row>
    <row r="629">
      <c r="F629" s="13"/>
    </row>
    <row r="630">
      <c r="F630" s="13"/>
    </row>
    <row r="631">
      <c r="F631" s="13"/>
    </row>
    <row r="632">
      <c r="F632" s="13"/>
    </row>
    <row r="633">
      <c r="F633" s="13"/>
    </row>
    <row r="634">
      <c r="F634" s="13"/>
    </row>
    <row r="635">
      <c r="F635" s="13"/>
    </row>
    <row r="636">
      <c r="F636" s="13"/>
    </row>
    <row r="637">
      <c r="F637" s="13"/>
    </row>
    <row r="638">
      <c r="F638" s="13"/>
    </row>
    <row r="639">
      <c r="F639" s="13"/>
    </row>
    <row r="640">
      <c r="F640" s="13"/>
    </row>
    <row r="641">
      <c r="F641" s="13"/>
    </row>
    <row r="642">
      <c r="F642" s="13"/>
    </row>
    <row r="643">
      <c r="F643" s="13"/>
    </row>
    <row r="644">
      <c r="F644" s="13"/>
    </row>
    <row r="645">
      <c r="F645" s="13"/>
    </row>
    <row r="646">
      <c r="F646" s="13"/>
    </row>
    <row r="647">
      <c r="F647" s="13"/>
    </row>
    <row r="648">
      <c r="F648" s="13"/>
    </row>
    <row r="649">
      <c r="F649" s="13"/>
    </row>
    <row r="650">
      <c r="F650" s="13"/>
    </row>
    <row r="651">
      <c r="F651" s="13"/>
    </row>
    <row r="652">
      <c r="F652" s="13"/>
    </row>
    <row r="653">
      <c r="F653" s="13"/>
    </row>
    <row r="654">
      <c r="F654" s="13"/>
    </row>
    <row r="655">
      <c r="F655" s="13"/>
    </row>
    <row r="656">
      <c r="F656" s="13"/>
    </row>
    <row r="657">
      <c r="F657" s="13"/>
    </row>
    <row r="658">
      <c r="F658" s="13"/>
    </row>
    <row r="659">
      <c r="F659" s="13"/>
    </row>
    <row r="660">
      <c r="F660" s="13"/>
    </row>
    <row r="661">
      <c r="F661" s="13"/>
    </row>
    <row r="662">
      <c r="F662" s="13"/>
    </row>
    <row r="663">
      <c r="F663" s="13"/>
    </row>
    <row r="664">
      <c r="F664" s="13"/>
    </row>
    <row r="665">
      <c r="F665" s="13"/>
    </row>
    <row r="666">
      <c r="F666" s="13"/>
    </row>
    <row r="667">
      <c r="F667" s="13"/>
    </row>
    <row r="668">
      <c r="F668" s="13"/>
    </row>
    <row r="669">
      <c r="F669" s="13"/>
    </row>
    <row r="670">
      <c r="F670" s="13"/>
    </row>
    <row r="671">
      <c r="F671" s="13"/>
    </row>
    <row r="672">
      <c r="F672" s="13"/>
    </row>
    <row r="673">
      <c r="F673" s="13"/>
    </row>
    <row r="674">
      <c r="F674" s="13"/>
    </row>
    <row r="675">
      <c r="F675" s="13"/>
    </row>
    <row r="676">
      <c r="F676" s="13"/>
    </row>
    <row r="677">
      <c r="F677" s="13"/>
    </row>
    <row r="678">
      <c r="F678" s="13"/>
    </row>
    <row r="679">
      <c r="F679" s="13"/>
    </row>
    <row r="680">
      <c r="F680" s="13"/>
    </row>
    <row r="681">
      <c r="F681" s="13"/>
    </row>
    <row r="682">
      <c r="F682" s="13"/>
    </row>
    <row r="683">
      <c r="F683" s="13"/>
    </row>
    <row r="684">
      <c r="F684" s="13"/>
    </row>
    <row r="685">
      <c r="F685" s="13"/>
    </row>
    <row r="686">
      <c r="F686" s="13"/>
    </row>
    <row r="687">
      <c r="F687" s="13"/>
    </row>
    <row r="688">
      <c r="F688" s="13"/>
    </row>
    <row r="689">
      <c r="F689" s="13"/>
    </row>
    <row r="690">
      <c r="F690" s="13"/>
    </row>
    <row r="691">
      <c r="F691" s="13"/>
    </row>
    <row r="692">
      <c r="F692" s="13"/>
    </row>
    <row r="693">
      <c r="F693" s="13"/>
    </row>
    <row r="694">
      <c r="F694" s="13"/>
    </row>
    <row r="695">
      <c r="F695" s="13"/>
    </row>
    <row r="696">
      <c r="F696" s="13"/>
    </row>
    <row r="697">
      <c r="F697" s="13"/>
    </row>
    <row r="698">
      <c r="F698" s="13"/>
    </row>
    <row r="699">
      <c r="F699" s="13"/>
    </row>
    <row r="700">
      <c r="F700" s="13"/>
    </row>
    <row r="701">
      <c r="F701" s="13"/>
    </row>
    <row r="702">
      <c r="F702" s="13"/>
    </row>
    <row r="703">
      <c r="F703" s="13"/>
    </row>
    <row r="704">
      <c r="F704" s="13"/>
    </row>
    <row r="705">
      <c r="F705" s="13"/>
    </row>
    <row r="706">
      <c r="F706" s="13"/>
    </row>
    <row r="707">
      <c r="F707" s="13"/>
    </row>
    <row r="708">
      <c r="F708" s="13"/>
    </row>
    <row r="709">
      <c r="F709" s="13"/>
    </row>
    <row r="710">
      <c r="F710" s="13"/>
    </row>
    <row r="711">
      <c r="F711" s="13"/>
    </row>
    <row r="712">
      <c r="F712" s="13"/>
    </row>
    <row r="713">
      <c r="F713" s="13"/>
    </row>
    <row r="714">
      <c r="F714" s="13"/>
    </row>
    <row r="715">
      <c r="F715" s="13"/>
    </row>
    <row r="716">
      <c r="F716" s="13"/>
    </row>
    <row r="717">
      <c r="F717" s="13"/>
    </row>
    <row r="718">
      <c r="F718" s="13"/>
    </row>
    <row r="719">
      <c r="F719" s="13"/>
    </row>
    <row r="720">
      <c r="F720" s="13"/>
    </row>
    <row r="721">
      <c r="F721" s="13"/>
    </row>
    <row r="722">
      <c r="F722" s="13"/>
    </row>
    <row r="723">
      <c r="F723" s="13"/>
    </row>
    <row r="724">
      <c r="F724" s="13"/>
    </row>
    <row r="725">
      <c r="F725" s="13"/>
    </row>
    <row r="726">
      <c r="F726" s="13"/>
    </row>
    <row r="727">
      <c r="F727" s="13"/>
    </row>
    <row r="728">
      <c r="F728" s="13"/>
    </row>
    <row r="729">
      <c r="F729" s="13"/>
    </row>
    <row r="730">
      <c r="F730" s="13"/>
    </row>
    <row r="731">
      <c r="F731" s="13"/>
    </row>
    <row r="732">
      <c r="F732" s="13"/>
    </row>
    <row r="733">
      <c r="F733" s="13"/>
    </row>
    <row r="734">
      <c r="F734" s="13"/>
    </row>
    <row r="735">
      <c r="F735" s="13"/>
    </row>
    <row r="736">
      <c r="F736" s="13"/>
    </row>
    <row r="737">
      <c r="F737" s="13"/>
    </row>
    <row r="738">
      <c r="F738" s="13"/>
    </row>
    <row r="739">
      <c r="F739" s="13"/>
    </row>
    <row r="740">
      <c r="F740" s="13"/>
    </row>
    <row r="741">
      <c r="F741" s="13"/>
    </row>
    <row r="742">
      <c r="F742" s="13"/>
    </row>
    <row r="743">
      <c r="F743" s="13"/>
    </row>
    <row r="744">
      <c r="F744" s="13"/>
    </row>
    <row r="745">
      <c r="F745" s="13"/>
    </row>
    <row r="746">
      <c r="F746" s="13"/>
    </row>
    <row r="747">
      <c r="F747" s="13"/>
    </row>
    <row r="748">
      <c r="F748" s="13"/>
    </row>
    <row r="749">
      <c r="F749" s="13"/>
    </row>
    <row r="750">
      <c r="F750" s="13"/>
    </row>
    <row r="751">
      <c r="F751" s="13"/>
    </row>
    <row r="752">
      <c r="F752" s="13"/>
    </row>
    <row r="753">
      <c r="F753" s="13"/>
    </row>
    <row r="754">
      <c r="F754" s="13"/>
    </row>
    <row r="755">
      <c r="F755" s="13"/>
    </row>
    <row r="756">
      <c r="F756" s="13"/>
    </row>
    <row r="757">
      <c r="F757" s="13"/>
    </row>
    <row r="758">
      <c r="F758" s="13"/>
    </row>
    <row r="759">
      <c r="F759" s="13"/>
    </row>
    <row r="760">
      <c r="F760" s="13"/>
    </row>
    <row r="761">
      <c r="F761" s="13"/>
    </row>
    <row r="762">
      <c r="F762" s="13"/>
    </row>
    <row r="763">
      <c r="F763" s="13"/>
    </row>
    <row r="764">
      <c r="F764" s="13"/>
    </row>
    <row r="765">
      <c r="F765" s="13"/>
    </row>
    <row r="766">
      <c r="F766" s="13"/>
    </row>
    <row r="767">
      <c r="F767" s="13"/>
    </row>
    <row r="768">
      <c r="F768" s="13"/>
    </row>
    <row r="769">
      <c r="F769" s="13"/>
    </row>
    <row r="770">
      <c r="F770" s="13"/>
    </row>
    <row r="771">
      <c r="F771" s="13"/>
    </row>
    <row r="772">
      <c r="F772" s="13"/>
    </row>
    <row r="773">
      <c r="F773" s="13"/>
    </row>
    <row r="774">
      <c r="F774" s="13"/>
    </row>
    <row r="775">
      <c r="F775" s="13"/>
    </row>
    <row r="776">
      <c r="F776" s="13"/>
    </row>
    <row r="777">
      <c r="F777" s="13"/>
    </row>
    <row r="778">
      <c r="F778" s="13"/>
    </row>
    <row r="779">
      <c r="F779" s="13"/>
    </row>
    <row r="780">
      <c r="F780" s="13"/>
    </row>
    <row r="781">
      <c r="F781" s="13"/>
    </row>
    <row r="782">
      <c r="F782" s="13"/>
    </row>
    <row r="783">
      <c r="F783" s="13"/>
    </row>
    <row r="784">
      <c r="F784" s="13"/>
    </row>
    <row r="785">
      <c r="F785" s="13"/>
    </row>
    <row r="786">
      <c r="F786" s="13"/>
    </row>
    <row r="787">
      <c r="F787" s="13"/>
    </row>
    <row r="788">
      <c r="F788" s="13"/>
    </row>
    <row r="789">
      <c r="F789" s="13"/>
    </row>
    <row r="790">
      <c r="F790" s="13"/>
    </row>
    <row r="791">
      <c r="F791" s="13"/>
    </row>
    <row r="792">
      <c r="F792" s="13"/>
    </row>
    <row r="793">
      <c r="F793" s="13"/>
    </row>
    <row r="794">
      <c r="F794" s="13"/>
    </row>
    <row r="795">
      <c r="F795" s="13"/>
    </row>
    <row r="796">
      <c r="F796" s="13"/>
    </row>
    <row r="797">
      <c r="F797" s="13"/>
    </row>
    <row r="798">
      <c r="F798" s="13"/>
    </row>
    <row r="799">
      <c r="F799" s="13"/>
    </row>
    <row r="800">
      <c r="F800" s="13"/>
    </row>
    <row r="801">
      <c r="F801" s="13"/>
    </row>
    <row r="802">
      <c r="F802" s="13"/>
    </row>
    <row r="803">
      <c r="F803" s="13"/>
    </row>
    <row r="804">
      <c r="F804" s="13"/>
    </row>
    <row r="805">
      <c r="F805" s="13"/>
    </row>
    <row r="806">
      <c r="F806" s="13"/>
    </row>
    <row r="807">
      <c r="F807" s="13"/>
    </row>
    <row r="808">
      <c r="F808" s="13"/>
    </row>
    <row r="809">
      <c r="F809" s="13"/>
    </row>
    <row r="810">
      <c r="F810" s="13"/>
    </row>
    <row r="811">
      <c r="F811" s="13"/>
    </row>
    <row r="812">
      <c r="F812" s="13"/>
    </row>
    <row r="813">
      <c r="F813" s="13"/>
    </row>
    <row r="814">
      <c r="F814" s="13"/>
    </row>
    <row r="815">
      <c r="F815" s="13"/>
    </row>
    <row r="816">
      <c r="F816" s="13"/>
    </row>
    <row r="817">
      <c r="F817" s="13"/>
    </row>
    <row r="818">
      <c r="F818" s="13"/>
    </row>
    <row r="819">
      <c r="F819" s="13"/>
    </row>
    <row r="820">
      <c r="F820" s="13"/>
    </row>
    <row r="821">
      <c r="F821" s="13"/>
    </row>
    <row r="822">
      <c r="F822" s="13"/>
    </row>
    <row r="823">
      <c r="F823" s="13"/>
    </row>
    <row r="824">
      <c r="F824" s="13"/>
    </row>
    <row r="825">
      <c r="F825" s="13"/>
    </row>
    <row r="826">
      <c r="F826" s="13"/>
    </row>
    <row r="827">
      <c r="F827" s="13"/>
    </row>
    <row r="828">
      <c r="F828" s="13"/>
    </row>
    <row r="829">
      <c r="F829" s="13"/>
    </row>
    <row r="830">
      <c r="F830" s="13"/>
    </row>
    <row r="831">
      <c r="F831" s="13"/>
    </row>
    <row r="832">
      <c r="F832" s="13"/>
    </row>
    <row r="833">
      <c r="F833" s="13"/>
    </row>
    <row r="834">
      <c r="F834" s="13"/>
    </row>
    <row r="835">
      <c r="F835" s="13"/>
    </row>
    <row r="836">
      <c r="F836" s="13"/>
    </row>
    <row r="837">
      <c r="F837" s="13"/>
    </row>
    <row r="838">
      <c r="F838" s="13"/>
    </row>
    <row r="839">
      <c r="F839" s="13"/>
    </row>
    <row r="840">
      <c r="F840" s="13"/>
    </row>
    <row r="841">
      <c r="F841" s="13"/>
    </row>
    <row r="842">
      <c r="F842" s="13"/>
    </row>
    <row r="843">
      <c r="F843" s="13"/>
    </row>
    <row r="844">
      <c r="F844" s="13"/>
    </row>
    <row r="845">
      <c r="F845" s="13"/>
    </row>
    <row r="846">
      <c r="F846" s="13"/>
    </row>
    <row r="847">
      <c r="F847" s="13"/>
    </row>
    <row r="848">
      <c r="F848" s="13"/>
    </row>
    <row r="849">
      <c r="F849" s="13"/>
    </row>
    <row r="850">
      <c r="F850" s="13"/>
    </row>
    <row r="851">
      <c r="F851" s="13"/>
    </row>
    <row r="852">
      <c r="F852" s="13"/>
    </row>
    <row r="853">
      <c r="F853" s="13"/>
    </row>
    <row r="854">
      <c r="F854" s="13"/>
    </row>
    <row r="855">
      <c r="F855" s="13"/>
    </row>
    <row r="856">
      <c r="F856" s="13"/>
    </row>
    <row r="857">
      <c r="F857" s="13"/>
    </row>
    <row r="858">
      <c r="F858" s="13"/>
    </row>
    <row r="859">
      <c r="F859" s="13"/>
    </row>
    <row r="860">
      <c r="F860" s="13"/>
    </row>
    <row r="861">
      <c r="F861" s="13"/>
    </row>
    <row r="862">
      <c r="F862" s="13"/>
    </row>
    <row r="863">
      <c r="F863" s="13"/>
    </row>
    <row r="864">
      <c r="F864" s="13"/>
    </row>
    <row r="865">
      <c r="F865" s="13"/>
    </row>
    <row r="866">
      <c r="F866" s="13"/>
    </row>
    <row r="867">
      <c r="F867" s="13"/>
    </row>
    <row r="868">
      <c r="F868" s="13"/>
    </row>
    <row r="869">
      <c r="F869" s="13"/>
    </row>
    <row r="870">
      <c r="F870" s="13"/>
    </row>
    <row r="871">
      <c r="F871" s="13"/>
    </row>
    <row r="872">
      <c r="F872" s="13"/>
    </row>
    <row r="873">
      <c r="F873" s="13"/>
    </row>
    <row r="874">
      <c r="F874" s="13"/>
    </row>
    <row r="875">
      <c r="F875" s="13"/>
    </row>
  </sheetData>
  <conditionalFormatting sqref="D1:D896">
    <cfRule type="cellIs" dxfId="0" priority="1" operator="lessThan">
      <formula>0</formula>
    </cfRule>
  </conditionalFormatting>
  <conditionalFormatting sqref="D1:D896">
    <cfRule type="cellIs" dxfId="1" priority="2" operator="greaterThanOrEqual">
      <formula>0</formula>
    </cfRule>
  </conditionalFormatting>
  <conditionalFormatting sqref="U1:U28 H2:H896">
    <cfRule type="cellIs" dxfId="2" priority="3" operator="greaterThanOrEqual">
      <formula>0</formula>
    </cfRule>
  </conditionalFormatting>
  <conditionalFormatting sqref="G2:G896">
    <cfRule type="containsBlanks" dxfId="3" priority="4">
      <formula>LEN(TRIM(G2))=0</formula>
    </cfRule>
  </conditionalFormatting>
  <conditionalFormatting sqref="G2:G896">
    <cfRule type="notContainsText" dxfId="4" priority="5" operator="notContains" text="profit target">
      <formula>ISERROR(SEARCH(("profit target"),(G2)))</formula>
    </cfRule>
  </conditionalFormatting>
  <conditionalFormatting sqref="H1:H896 U1:U28">
    <cfRule type="cellIs" dxfId="0" priority="6" operator="lessThan">
      <formula>0</formula>
    </cfRule>
  </conditionalFormatting>
  <conditionalFormatting sqref="F1:F896">
    <cfRule type="timePeriod" dxfId="5" priority="7" timePeriod="today"/>
  </conditionalFormatting>
  <conditionalFormatting sqref="M2:M896">
    <cfRule type="containsText" dxfId="6" priority="8" operator="containsText" text="long">
      <formula>NOT(ISERROR(SEARCH(("long"),(M2))))</formula>
    </cfRule>
  </conditionalFormatting>
  <conditionalFormatting sqref="M2:M896">
    <cfRule type="containsText" dxfId="7" priority="9" operator="containsText" text="short">
      <formula>NOT(ISERROR(SEARCH(("short"),(M2))))</formula>
    </cfRule>
  </conditionalFormatting>
  <conditionalFormatting sqref="N1:N896">
    <cfRule type="cellIs" dxfId="2" priority="10" operator="greaterThanOrEqual">
      <formula>0</formula>
    </cfRule>
  </conditionalFormatting>
  <conditionalFormatting sqref="N1:N896">
    <cfRule type="cellIs" dxfId="0" priority="11" operator="lessThan">
      <formula>0</formula>
    </cfRule>
  </conditionalFormatting>
  <conditionalFormatting sqref="O1:O896">
    <cfRule type="cellIs" dxfId="2" priority="12" operator="greaterThanOrEqual">
      <formula>0</formula>
    </cfRule>
  </conditionalFormatting>
  <conditionalFormatting sqref="O1:O896">
    <cfRule type="cellIs" dxfId="0" priority="13" operator="lessThan">
      <formula>0</formula>
    </cfRule>
  </conditionalFormatting>
  <conditionalFormatting sqref="P1:P896">
    <cfRule type="cellIs" dxfId="2" priority="14" operator="greaterThanOrEqual">
      <formula>0</formula>
    </cfRule>
  </conditionalFormatting>
  <conditionalFormatting sqref="P1:P896">
    <cfRule type="cellIs" dxfId="0" priority="15" operator="lessThan">
      <formula>0</formula>
    </cfRule>
  </conditionalFormatting>
  <drawing r:id="rId1"/>
</worksheet>
</file>